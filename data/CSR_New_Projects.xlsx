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9cb5fd55618a6a/Desktop/Project Genesis/"/>
    </mc:Choice>
  </mc:AlternateContent>
  <xr:revisionPtr revIDLastSave="0" documentId="8_{93E51072-B402-4073-89BB-65DE0EB52B05}" xr6:coauthVersionLast="47" xr6:coauthVersionMax="47" xr10:uidLastSave="{00000000-0000-0000-0000-000000000000}"/>
  <bookViews>
    <workbookView xWindow="-108" yWindow="-108" windowWidth="23256" windowHeight="13896" xr2:uid="{A3F6225B-44D5-49E7-BD7F-1D5007146DBF}"/>
  </bookViews>
  <sheets>
    <sheet name="CSR New Proje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1" l="1"/>
  <c r="B41" i="1"/>
  <c r="B23" i="1"/>
  <c r="B18" i="1"/>
  <c r="B6" i="1"/>
  <c r="B60" i="1" s="1"/>
  <c r="B63" i="1" l="1"/>
  <c r="B61" i="1"/>
  <c r="B62" i="1" s="1"/>
  <c r="B64" i="1" s="1"/>
</calcChain>
</file>

<file path=xl/sharedStrings.xml><?xml version="1.0" encoding="utf-8"?>
<sst xmlns="http://schemas.openxmlformats.org/spreadsheetml/2006/main" count="63" uniqueCount="63">
  <si>
    <t>TERP NEW PROJECTS</t>
  </si>
  <si>
    <t>Contract Amount</t>
  </si>
  <si>
    <t>Change Orders</t>
  </si>
  <si>
    <t>CSR Cut-off Date</t>
  </si>
  <si>
    <t>CSR Presentation</t>
  </si>
  <si>
    <t>Accomplishment (%)</t>
  </si>
  <si>
    <t>Projected Net Contract Amount</t>
  </si>
  <si>
    <t>Cost Status Report</t>
  </si>
  <si>
    <t>Projected Profit (Contract Amount - CSR)</t>
  </si>
  <si>
    <t>Remarks</t>
  </si>
  <si>
    <t>Billed</t>
  </si>
  <si>
    <t>Actual</t>
  </si>
  <si>
    <t>1.0 Jun David</t>
  </si>
  <si>
    <t>1.1 JIL Tower</t>
  </si>
  <si>
    <t>1.1.1 Structural Works Package 1</t>
  </si>
  <si>
    <t>1.1.2 Retrofitting Works Package 2</t>
  </si>
  <si>
    <t>1.1.3 Retrofitting Works Package 3 (For zone 1 using steel jacket)</t>
  </si>
  <si>
    <t>1.1.4 Electrical roughing - ins works</t>
  </si>
  <si>
    <t>1.1.5 Controlled Demolition Works</t>
  </si>
  <si>
    <t>1.2 Woodsville Crest Residences</t>
  </si>
  <si>
    <t>1.2.1 Woodsville Tower 3</t>
  </si>
  <si>
    <t>1.2.2 Woodsville Site Development</t>
  </si>
  <si>
    <t>1.2.2 Woodsville Tower 1 Architectural - Fitout Works</t>
  </si>
  <si>
    <t>2.0 Ramel De Castro</t>
  </si>
  <si>
    <t>2.1 Sierra Valley Gardens Residences</t>
  </si>
  <si>
    <t>2.1.1 Sierra Tower 4</t>
  </si>
  <si>
    <t>2.1.2 Sierra Tower 1 Fit - out works</t>
  </si>
  <si>
    <t>3.0 Godfrey Aranzaso</t>
  </si>
  <si>
    <t>3.1 Great Valley Medical Center</t>
  </si>
  <si>
    <t>3.1.1 Great Valley Medical Center Architectural</t>
  </si>
  <si>
    <t>3.1.2 Great Valley Medical Center Phase I 12-15Fa</t>
  </si>
  <si>
    <t>3.1.3 Great Valley Medical Center Phase II 12-15Fb</t>
  </si>
  <si>
    <t>3.2 Tarlac Hall of Justice</t>
  </si>
  <si>
    <t>4.0 Alfhie Masinadiong</t>
  </si>
  <si>
    <t>4.1 One Tolentino East Residences</t>
  </si>
  <si>
    <t>4.2 One Tolentino East Residences - Sealant Application</t>
  </si>
  <si>
    <t>4.3 One Tolentino East Residences - Precast Exterior Wall (125 MM THK)</t>
  </si>
  <si>
    <t xml:space="preserve">4.4 One Tolentino East Residences - Sealant &amp; P.U  Foam Application (Interior Wall) for Tower 1 </t>
  </si>
  <si>
    <t xml:space="preserve">4.5 One Tolentino East Residences - RSB Fabrication for Tower 2 </t>
  </si>
  <si>
    <t xml:space="preserve">4.6 One Tolentino East Residences - Lintel Beam &amp; Siffener Column for Tower 1 </t>
  </si>
  <si>
    <t>5.0 Ryan Legaspi</t>
  </si>
  <si>
    <t>5.1 Mantawi Residences - Cebu</t>
  </si>
  <si>
    <t>6.0 Mark Tumpalan</t>
  </si>
  <si>
    <t>6.1 Philsouth Projects - Dumaguete</t>
  </si>
  <si>
    <t>6.1.1 Dumaguete Medical City</t>
  </si>
  <si>
    <t>6.1.2 Dumaguete Government Center</t>
  </si>
  <si>
    <t>6.1.4 Four - Storey Parking building</t>
  </si>
  <si>
    <t>6.1.3 Koko Hotel Dumaguete</t>
  </si>
  <si>
    <t>7.0 Reymark La Guardia</t>
  </si>
  <si>
    <t>7.1 Amisa Residences - Interior Painting Works</t>
  </si>
  <si>
    <t>8.0 Giselle Gerardo</t>
  </si>
  <si>
    <t>8.1 Lolo Uweng Phase 2 + existing contract (discuss with giselle)</t>
  </si>
  <si>
    <t>8.2 Belfry Tower - Sacred Heart Parish Muntinlupa</t>
  </si>
  <si>
    <t>9.0 Dolphy Esteban</t>
  </si>
  <si>
    <t>9.1 FIli  Bridgetown - Service Elevator ABWF</t>
  </si>
  <si>
    <t>9.2 Grand Summit Pangasinan</t>
  </si>
  <si>
    <t>10.0 Rowell Clarin</t>
  </si>
  <si>
    <t>10.1 Maribago Mercado Resort</t>
  </si>
  <si>
    <t>Gross Contract Amount</t>
  </si>
  <si>
    <t>5% Tax</t>
  </si>
  <si>
    <t>Contract Amount After Tax</t>
  </si>
  <si>
    <t>15% Profit  of Gross Contract Amount</t>
  </si>
  <si>
    <t>Target Direct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</si>
</sst>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PHP]\ #,##0.00"/>
    <numFmt numFmtId="165" formatCode="_-[$₱-3409]* #,##0.00_-;\-[$₱-3409]* #,##0.00_-;_-[$₱-3409]* &quot;-&quot;??_-;_-@_-"/>
    <numFmt numFmtId="166" formatCode="[$-F800]dddd\,\ mmmm\ dd\,\ yyyy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3" borderId="5" xfId="0" applyFill="1" applyBorder="1"/>
    <xf numFmtId="164" fontId="0" fillId="4" borderId="6" xfId="0" applyNumberFormat="1" applyFill="1" applyBorder="1" applyAlignment="1">
      <alignment horizontal="center" vertical="center"/>
    </xf>
    <xf numFmtId="0" fontId="0" fillId="5" borderId="6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6" borderId="5" xfId="0" applyFill="1" applyBorder="1" applyAlignment="1">
      <alignment horizontal="left" vertical="center" indent="2"/>
    </xf>
    <xf numFmtId="0" fontId="0" fillId="0" borderId="5" xfId="0" applyBorder="1" applyAlignment="1">
      <alignment horizontal="left" vertical="center" indent="4"/>
    </xf>
    <xf numFmtId="165" fontId="0" fillId="0" borderId="6" xfId="0" applyNumberFormat="1" applyBorder="1" applyAlignment="1">
      <alignment horizontal="left" indent="1"/>
    </xf>
    <xf numFmtId="0" fontId="0" fillId="7" borderId="6" xfId="0" applyFill="1" applyBorder="1"/>
    <xf numFmtId="166" fontId="0" fillId="0" borderId="6" xfId="0" applyNumberFormat="1" applyBorder="1" applyAlignment="1">
      <alignment horizontal="center" vertical="center"/>
    </xf>
    <xf numFmtId="0" fontId="0" fillId="0" borderId="6" xfId="0" applyBorder="1"/>
    <xf numFmtId="10" fontId="0" fillId="0" borderId="6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0" fillId="0" borderId="8" xfId="0" applyBorder="1" applyAlignment="1">
      <alignment horizontal="center"/>
    </xf>
    <xf numFmtId="166" fontId="0" fillId="0" borderId="6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0" fillId="0" borderId="8" xfId="0" applyBorder="1" applyAlignment="1">
      <alignment horizontal="center"/>
    </xf>
    <xf numFmtId="164" fontId="0" fillId="8" borderId="6" xfId="0" applyNumberFormat="1" applyFill="1" applyBorder="1" applyAlignment="1">
      <alignment horizontal="center" vertical="center"/>
    </xf>
    <xf numFmtId="164" fontId="0" fillId="8" borderId="8" xfId="0" applyNumberFormat="1" applyFill="1" applyBorder="1" applyAlignment="1">
      <alignment horizontal="center" vertical="center"/>
    </xf>
    <xf numFmtId="165" fontId="0" fillId="0" borderId="6" xfId="0" applyNumberFormat="1" applyBorder="1" applyAlignment="1">
      <alignment horizontal="left" vertical="center" indent="1"/>
    </xf>
    <xf numFmtId="0" fontId="0" fillId="0" borderId="8" xfId="0" applyBorder="1"/>
    <xf numFmtId="0" fontId="0" fillId="9" borderId="5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3" borderId="5" xfId="0" applyFill="1" applyBorder="1" applyAlignment="1">
      <alignment horizontal="left" vertical="center"/>
    </xf>
    <xf numFmtId="0" fontId="0" fillId="10" borderId="6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0" borderId="5" xfId="0" applyBorder="1" applyAlignment="1">
      <alignment horizontal="left" vertical="center" indent="3"/>
    </xf>
    <xf numFmtId="166" fontId="0" fillId="0" borderId="6" xfId="0" applyNumberFormat="1" applyBorder="1" applyAlignment="1">
      <alignment vertical="center"/>
    </xf>
    <xf numFmtId="10" fontId="0" fillId="0" borderId="6" xfId="1" applyNumberFormat="1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166" fontId="0" fillId="7" borderId="6" xfId="0" applyNumberFormat="1" applyFill="1" applyBorder="1" applyAlignment="1">
      <alignment horizontal="center" vertical="center"/>
    </xf>
    <xf numFmtId="165" fontId="0" fillId="0" borderId="6" xfId="0" applyNumberFormat="1" applyBorder="1"/>
    <xf numFmtId="0" fontId="0" fillId="0" borderId="8" xfId="0" applyBorder="1" applyAlignment="1">
      <alignment horizontal="center" vertical="center"/>
    </xf>
    <xf numFmtId="164" fontId="0" fillId="10" borderId="6" xfId="0" applyNumberFormat="1" applyFill="1" applyBorder="1" applyAlignment="1">
      <alignment horizontal="center"/>
    </xf>
    <xf numFmtId="164" fontId="0" fillId="10" borderId="8" xfId="0" applyNumberFormat="1" applyFill="1" applyBorder="1" applyAlignment="1">
      <alignment horizontal="center"/>
    </xf>
    <xf numFmtId="164" fontId="0" fillId="4" borderId="6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6" borderId="5" xfId="0" applyFill="1" applyBorder="1" applyAlignment="1">
      <alignment horizontal="left" vertical="center" wrapText="1" indent="2"/>
    </xf>
    <xf numFmtId="0" fontId="0" fillId="11" borderId="5" xfId="0" applyFill="1" applyBorder="1" applyAlignment="1">
      <alignment vertical="center"/>
    </xf>
    <xf numFmtId="0" fontId="0" fillId="11" borderId="6" xfId="0" applyFill="1" applyBorder="1" applyAlignment="1">
      <alignment vertical="center"/>
    </xf>
    <xf numFmtId="0" fontId="0" fillId="11" borderId="8" xfId="0" applyFill="1" applyBorder="1"/>
    <xf numFmtId="0" fontId="0" fillId="6" borderId="5" xfId="0" applyFill="1" applyBorder="1" applyAlignment="1">
      <alignment horizontal="left" indent="2"/>
    </xf>
    <xf numFmtId="0" fontId="0" fillId="12" borderId="5" xfId="0" applyFill="1" applyBorder="1" applyAlignment="1">
      <alignment horizontal="left" vertical="center" indent="3"/>
    </xf>
    <xf numFmtId="166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/>
    </xf>
    <xf numFmtId="165" fontId="0" fillId="0" borderId="9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165" fontId="0" fillId="10" borderId="6" xfId="0" applyNumberFormat="1" applyFill="1" applyBorder="1" applyAlignment="1">
      <alignment horizontal="center"/>
    </xf>
    <xf numFmtId="165" fontId="0" fillId="10" borderId="8" xfId="0" applyNumberFormat="1" applyFill="1" applyBorder="1" applyAlignment="1">
      <alignment horizontal="center"/>
    </xf>
    <xf numFmtId="0" fontId="0" fillId="6" borderId="10" xfId="0" applyFill="1" applyBorder="1" applyAlignment="1">
      <alignment horizontal="left" vertical="center" indent="2"/>
    </xf>
    <xf numFmtId="164" fontId="0" fillId="4" borderId="11" xfId="0" applyNumberFormat="1" applyFill="1" applyBorder="1" applyAlignment="1">
      <alignment horizontal="center" vertical="center"/>
    </xf>
    <xf numFmtId="0" fontId="0" fillId="0" borderId="11" xfId="0" applyBorder="1"/>
    <xf numFmtId="10" fontId="0" fillId="0" borderId="11" xfId="1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165" fontId="0" fillId="12" borderId="14" xfId="0" applyNumberFormat="1" applyFill="1" applyBorder="1"/>
    <xf numFmtId="165" fontId="0" fillId="0" borderId="0" xfId="0" applyNumberFormat="1"/>
    <xf numFmtId="0" fontId="0" fillId="0" borderId="5" xfId="0" applyBorder="1" applyAlignment="1">
      <alignment horizontal="center" vertical="center"/>
    </xf>
    <xf numFmtId="165" fontId="0" fillId="0" borderId="8" xfId="0" applyNumberFormat="1" applyBorder="1"/>
    <xf numFmtId="165" fontId="0" fillId="2" borderId="8" xfId="0" applyNumberFormat="1" applyFill="1" applyBorder="1"/>
    <xf numFmtId="0" fontId="0" fillId="0" borderId="10" xfId="0" applyBorder="1" applyAlignment="1">
      <alignment horizontal="center" vertical="center"/>
    </xf>
    <xf numFmtId="165" fontId="0" fillId="13" borderId="12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66184-7AC7-4064-AB50-AAB6F33156E9}">
  <dimension ref="A3:T64"/>
  <sheetViews>
    <sheetView tabSelected="1" zoomScale="49" zoomScaleNormal="100" workbookViewId="0">
      <selection activeCell="A28" sqref="A28"/>
    </sheetView>
  </sheetViews>
  <sheetFormatPr defaultRowHeight="14.4" x14ac:dyDescent="0.3"/>
  <cols>
    <col min="1" max="1" width="89.77734375" bestFit="1" customWidth="1"/>
    <col min="2" max="2" width="24.109375" bestFit="1" customWidth="1"/>
    <col min="3" max="3" width="21.6640625" hidden="1" customWidth="1"/>
    <col min="4" max="4" width="38" hidden="1" customWidth="1"/>
    <col min="5" max="5" width="19.109375" hidden="1" customWidth="1"/>
    <col min="6" max="6" width="26" hidden="1" customWidth="1"/>
    <col min="7" max="7" width="24.44140625" bestFit="1" customWidth="1"/>
    <col min="8" max="8" width="32.5546875" bestFit="1" customWidth="1"/>
    <col min="9" max="9" width="24.77734375" customWidth="1"/>
    <col min="10" max="10" width="42.44140625" bestFit="1" customWidth="1"/>
    <col min="11" max="11" width="56" customWidth="1"/>
    <col min="12" max="12" width="32.109375" bestFit="1" customWidth="1"/>
    <col min="13" max="14" width="31.109375" bestFit="1" customWidth="1"/>
    <col min="15" max="15" width="37" bestFit="1" customWidth="1"/>
    <col min="16" max="16" width="21.33203125" customWidth="1"/>
    <col min="17" max="17" width="7.109375" hidden="1" customWidth="1"/>
    <col min="18" max="19" width="14.5546875" hidden="1" customWidth="1"/>
    <col min="20" max="20" width="36.21875" hidden="1" customWidth="1"/>
    <col min="21" max="22" width="36.21875" customWidth="1"/>
    <col min="23" max="23" width="33.44140625" customWidth="1"/>
    <col min="28" max="28" width="17" bestFit="1" customWidth="1"/>
  </cols>
  <sheetData>
    <row r="3" spans="1:13" ht="15" thickBot="1" x14ac:dyDescent="0.35">
      <c r="M3" s="1"/>
    </row>
    <row r="4" spans="1:13" x14ac:dyDescent="0.3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4" t="s">
        <v>5</v>
      </c>
      <c r="G4" s="4"/>
      <c r="H4" s="5" t="s">
        <v>6</v>
      </c>
      <c r="I4" s="3" t="s">
        <v>7</v>
      </c>
      <c r="J4" s="3" t="s">
        <v>8</v>
      </c>
      <c r="K4" s="6" t="s">
        <v>9</v>
      </c>
    </row>
    <row r="5" spans="1:13" x14ac:dyDescent="0.3">
      <c r="A5" s="7"/>
      <c r="B5" s="8"/>
      <c r="C5" s="8"/>
      <c r="D5" s="8"/>
      <c r="E5" s="8"/>
      <c r="F5" s="9" t="s">
        <v>10</v>
      </c>
      <c r="G5" s="9" t="s">
        <v>11</v>
      </c>
      <c r="H5" s="10"/>
      <c r="I5" s="8"/>
      <c r="J5" s="8"/>
      <c r="K5" s="11"/>
    </row>
    <row r="6" spans="1:13" x14ac:dyDescent="0.3">
      <c r="A6" s="12" t="s">
        <v>12</v>
      </c>
      <c r="B6" s="13">
        <f>SUM(B8:B17)</f>
        <v>561326636.24000001</v>
      </c>
      <c r="C6" s="14"/>
      <c r="D6" s="14"/>
      <c r="E6" s="14"/>
      <c r="F6" s="14"/>
      <c r="G6" s="14"/>
      <c r="H6" s="14"/>
      <c r="I6" s="14"/>
      <c r="J6" s="14"/>
      <c r="K6" s="15"/>
    </row>
    <row r="7" spans="1:13" x14ac:dyDescent="0.3">
      <c r="A7" s="16" t="s">
        <v>13</v>
      </c>
      <c r="B7" s="13"/>
      <c r="C7" s="14"/>
      <c r="D7" s="14"/>
      <c r="E7" s="14"/>
      <c r="F7" s="14"/>
      <c r="G7" s="14"/>
      <c r="H7" s="14"/>
      <c r="I7" s="14"/>
      <c r="J7" s="14"/>
      <c r="K7" s="15"/>
    </row>
    <row r="8" spans="1:13" x14ac:dyDescent="0.3">
      <c r="A8" s="17" t="s">
        <v>14</v>
      </c>
      <c r="B8" s="18">
        <v>72000000</v>
      </c>
      <c r="C8" s="19"/>
      <c r="D8" s="20"/>
      <c r="E8" s="20"/>
      <c r="F8" s="21"/>
      <c r="G8" s="22">
        <v>0.58909999999999996</v>
      </c>
      <c r="H8" s="22"/>
      <c r="I8" s="23"/>
      <c r="J8" s="21"/>
      <c r="K8" s="24"/>
    </row>
    <row r="9" spans="1:13" x14ac:dyDescent="0.3">
      <c r="A9" s="17" t="s">
        <v>15</v>
      </c>
      <c r="B9" s="18">
        <v>42448917.240000002</v>
      </c>
      <c r="C9" s="19"/>
      <c r="D9" s="20"/>
      <c r="E9" s="20"/>
      <c r="F9" s="21"/>
      <c r="G9" s="22">
        <v>0.76080000000000003</v>
      </c>
      <c r="H9" s="22"/>
      <c r="I9" s="23"/>
      <c r="J9" s="21"/>
      <c r="K9" s="24"/>
    </row>
    <row r="10" spans="1:13" x14ac:dyDescent="0.3">
      <c r="A10" s="17" t="s">
        <v>16</v>
      </c>
      <c r="B10" s="18">
        <v>49400000</v>
      </c>
      <c r="C10" s="19"/>
      <c r="D10" s="25"/>
      <c r="E10" s="25"/>
      <c r="F10" s="21"/>
      <c r="G10" s="22">
        <v>0.38740000000000002</v>
      </c>
      <c r="H10" s="22"/>
      <c r="I10" s="26"/>
      <c r="J10" s="21"/>
      <c r="K10" s="27"/>
    </row>
    <row r="11" spans="1:13" x14ac:dyDescent="0.3">
      <c r="A11" s="17" t="s">
        <v>17</v>
      </c>
      <c r="B11" s="18">
        <v>540000</v>
      </c>
      <c r="C11" s="19"/>
      <c r="D11" s="25"/>
      <c r="E11" s="25"/>
      <c r="F11" s="21"/>
      <c r="G11" s="22">
        <v>0.48</v>
      </c>
      <c r="H11" s="22"/>
      <c r="I11" s="26"/>
      <c r="J11" s="21"/>
      <c r="K11" s="27"/>
    </row>
    <row r="12" spans="1:13" x14ac:dyDescent="0.3">
      <c r="A12" s="17" t="s">
        <v>18</v>
      </c>
      <c r="B12" s="18">
        <v>1437719</v>
      </c>
      <c r="C12" s="19"/>
      <c r="D12" s="25"/>
      <c r="E12" s="25"/>
      <c r="F12" s="21"/>
      <c r="G12" s="22">
        <v>0.34229999999999999</v>
      </c>
      <c r="H12" s="22"/>
      <c r="I12" s="26"/>
      <c r="J12" s="21"/>
      <c r="K12" s="27"/>
    </row>
    <row r="13" spans="1:13" x14ac:dyDescent="0.3">
      <c r="A13" s="16" t="s">
        <v>19</v>
      </c>
      <c r="B13" s="28"/>
      <c r="C13" s="28"/>
      <c r="D13" s="28"/>
      <c r="E13" s="28"/>
      <c r="F13" s="28"/>
      <c r="G13" s="28"/>
      <c r="H13" s="28"/>
      <c r="I13" s="28"/>
      <c r="J13" s="28"/>
      <c r="K13" s="29"/>
    </row>
    <row r="14" spans="1:13" x14ac:dyDescent="0.3">
      <c r="A14" s="17" t="s">
        <v>20</v>
      </c>
      <c r="B14" s="30">
        <v>276000000</v>
      </c>
      <c r="C14" s="21"/>
      <c r="D14" s="20"/>
      <c r="E14" s="20"/>
      <c r="F14" s="21"/>
      <c r="G14" s="22">
        <v>0.40450000000000003</v>
      </c>
      <c r="H14" s="22"/>
      <c r="I14" s="21"/>
      <c r="J14" s="21"/>
      <c r="K14" s="31"/>
    </row>
    <row r="15" spans="1:13" x14ac:dyDescent="0.3">
      <c r="A15" s="17" t="s">
        <v>21</v>
      </c>
      <c r="B15" s="30">
        <v>54500000</v>
      </c>
      <c r="C15" s="21"/>
      <c r="D15" s="20"/>
      <c r="E15" s="20"/>
      <c r="F15" s="21"/>
      <c r="G15" s="22">
        <v>0.4909</v>
      </c>
      <c r="H15" s="22"/>
      <c r="I15" s="21"/>
      <c r="J15" s="21"/>
      <c r="K15" s="31"/>
    </row>
    <row r="16" spans="1:13" x14ac:dyDescent="0.3">
      <c r="A16" s="17" t="s">
        <v>22</v>
      </c>
      <c r="B16" s="30">
        <v>65000000</v>
      </c>
      <c r="C16" s="21"/>
      <c r="D16" s="25"/>
      <c r="E16" s="25"/>
      <c r="F16" s="21"/>
      <c r="G16" s="22">
        <v>0.36609999999999998</v>
      </c>
      <c r="H16" s="22"/>
      <c r="I16" s="21"/>
      <c r="J16" s="21"/>
      <c r="K16" s="31"/>
    </row>
    <row r="17" spans="1:11" x14ac:dyDescent="0.3">
      <c r="A17" s="32"/>
      <c r="B17" s="33"/>
      <c r="C17" s="33"/>
      <c r="D17" s="33"/>
      <c r="E17" s="33"/>
      <c r="F17" s="33"/>
      <c r="G17" s="33"/>
      <c r="H17" s="33"/>
      <c r="I17" s="33"/>
      <c r="J17" s="33"/>
      <c r="K17" s="34"/>
    </row>
    <row r="18" spans="1:11" x14ac:dyDescent="0.3">
      <c r="A18" s="35" t="s">
        <v>23</v>
      </c>
      <c r="B18" s="13">
        <f>SUM(B20:B22)</f>
        <v>537320631.82999992</v>
      </c>
      <c r="C18" s="36"/>
      <c r="D18" s="36"/>
      <c r="E18" s="36"/>
      <c r="F18" s="36"/>
      <c r="G18" s="36"/>
      <c r="H18" s="36"/>
      <c r="I18" s="36"/>
      <c r="J18" s="36"/>
      <c r="K18" s="37"/>
    </row>
    <row r="19" spans="1:11" x14ac:dyDescent="0.3">
      <c r="A19" s="16" t="s">
        <v>24</v>
      </c>
      <c r="B19" s="13"/>
      <c r="C19" s="36"/>
      <c r="D19" s="36"/>
      <c r="E19" s="36"/>
      <c r="F19" s="36"/>
      <c r="G19" s="36"/>
      <c r="H19" s="36"/>
      <c r="I19" s="36"/>
      <c r="J19" s="36"/>
      <c r="K19" s="37"/>
    </row>
    <row r="20" spans="1:11" x14ac:dyDescent="0.3">
      <c r="A20" s="38" t="s">
        <v>25</v>
      </c>
      <c r="B20" s="30">
        <v>439320631.82999998</v>
      </c>
      <c r="C20" s="21"/>
      <c r="D20" s="39"/>
      <c r="E20" s="39"/>
      <c r="F20" s="21"/>
      <c r="G20" s="40">
        <v>0.31540000000000001</v>
      </c>
      <c r="H20" s="40"/>
      <c r="I20" s="21"/>
      <c r="J20" s="21"/>
      <c r="K20" s="31"/>
    </row>
    <row r="21" spans="1:11" x14ac:dyDescent="0.3">
      <c r="A21" s="38" t="s">
        <v>26</v>
      </c>
      <c r="B21" s="30">
        <v>98000000</v>
      </c>
      <c r="C21" s="21"/>
      <c r="D21" s="39"/>
      <c r="E21" s="39"/>
      <c r="F21" s="21"/>
      <c r="G21" s="40">
        <v>0.55200000000000005</v>
      </c>
      <c r="H21" s="40"/>
      <c r="I21" s="21"/>
      <c r="J21" s="21"/>
      <c r="K21" s="31"/>
    </row>
    <row r="22" spans="1:11" x14ac:dyDescent="0.3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4"/>
    </row>
    <row r="23" spans="1:11" x14ac:dyDescent="0.3">
      <c r="A23" s="35" t="s">
        <v>27</v>
      </c>
      <c r="B23" s="13">
        <f>SUM(B25:B29)</f>
        <v>1049051525.1</v>
      </c>
      <c r="C23" s="36"/>
      <c r="D23" s="36"/>
      <c r="E23" s="36"/>
      <c r="F23" s="36"/>
      <c r="G23" s="36"/>
      <c r="H23" s="36"/>
      <c r="I23" s="36"/>
      <c r="J23" s="36"/>
      <c r="K23" s="37"/>
    </row>
    <row r="24" spans="1:11" x14ac:dyDescent="0.3">
      <c r="A24" s="16" t="s">
        <v>28</v>
      </c>
      <c r="B24" s="13"/>
      <c r="C24" s="36"/>
      <c r="D24" s="36"/>
      <c r="E24" s="36"/>
      <c r="F24" s="36"/>
      <c r="G24" s="36"/>
      <c r="H24" s="36"/>
      <c r="I24" s="36"/>
      <c r="J24" s="36"/>
      <c r="K24" s="37"/>
    </row>
    <row r="25" spans="1:11" x14ac:dyDescent="0.3">
      <c r="A25" s="38" t="s">
        <v>29</v>
      </c>
      <c r="B25" s="18">
        <v>640000000</v>
      </c>
      <c r="C25" s="21"/>
      <c r="D25" s="39"/>
      <c r="E25" s="39"/>
      <c r="F25" s="21"/>
      <c r="G25" s="22">
        <v>0.1472</v>
      </c>
      <c r="H25" s="22"/>
      <c r="I25" s="21"/>
      <c r="J25" s="21"/>
      <c r="K25" s="41"/>
    </row>
    <row r="26" spans="1:11" x14ac:dyDescent="0.3">
      <c r="A26" s="38" t="s">
        <v>30</v>
      </c>
      <c r="B26" s="18">
        <v>126000000</v>
      </c>
      <c r="C26" s="21"/>
      <c r="D26" s="39"/>
      <c r="E26" s="39"/>
      <c r="F26" s="21"/>
      <c r="G26" s="22">
        <v>0.98899999999999999</v>
      </c>
      <c r="H26" s="22"/>
      <c r="I26" s="21"/>
      <c r="J26" s="21"/>
      <c r="K26" s="41"/>
    </row>
    <row r="27" spans="1:11" x14ac:dyDescent="0.3">
      <c r="A27" s="38" t="s">
        <v>31</v>
      </c>
      <c r="B27" s="18">
        <v>101000000</v>
      </c>
      <c r="C27" s="21"/>
      <c r="D27" s="39"/>
      <c r="E27" s="39"/>
      <c r="F27" s="21"/>
      <c r="G27" s="22">
        <v>0.76900000000000002</v>
      </c>
      <c r="H27" s="22"/>
      <c r="I27" s="21"/>
      <c r="J27" s="21"/>
      <c r="K27" s="41"/>
    </row>
    <row r="28" spans="1:11" x14ac:dyDescent="0.3">
      <c r="A28" s="16" t="s">
        <v>32</v>
      </c>
      <c r="B28" s="18">
        <v>182051525.09999999</v>
      </c>
      <c r="C28" s="21"/>
      <c r="D28" s="42"/>
      <c r="E28" s="42"/>
      <c r="F28" s="21"/>
      <c r="G28" s="22">
        <v>0.99419999999999997</v>
      </c>
      <c r="H28" s="26"/>
      <c r="I28" s="26"/>
      <c r="J28" s="43"/>
      <c r="K28" s="44"/>
    </row>
    <row r="29" spans="1:11" x14ac:dyDescent="0.3">
      <c r="A29" s="32"/>
      <c r="B29" s="33"/>
      <c r="C29" s="33"/>
      <c r="D29" s="33"/>
      <c r="E29" s="33"/>
      <c r="F29" s="33"/>
      <c r="G29" s="33"/>
      <c r="H29" s="33"/>
      <c r="I29" s="33"/>
      <c r="J29" s="33"/>
      <c r="K29" s="34"/>
    </row>
    <row r="30" spans="1:11" x14ac:dyDescent="0.3">
      <c r="A30" s="35" t="s">
        <v>33</v>
      </c>
      <c r="B30" s="45"/>
      <c r="C30" s="45"/>
      <c r="D30" s="45"/>
      <c r="E30" s="45"/>
      <c r="F30" s="45"/>
      <c r="G30" s="45"/>
      <c r="H30" s="45"/>
      <c r="I30" s="45"/>
      <c r="J30" s="45"/>
      <c r="K30" s="46"/>
    </row>
    <row r="31" spans="1:11" x14ac:dyDescent="0.3">
      <c r="A31" s="16" t="s">
        <v>34</v>
      </c>
      <c r="B31" s="47">
        <v>499000000</v>
      </c>
      <c r="C31" s="21"/>
      <c r="D31" s="25"/>
      <c r="E31" s="25"/>
      <c r="F31" s="21"/>
      <c r="G31" s="40">
        <v>0.81289999999999996</v>
      </c>
      <c r="H31" s="40"/>
      <c r="I31" s="21"/>
      <c r="J31" s="21"/>
      <c r="K31" s="48"/>
    </row>
    <row r="32" spans="1:11" x14ac:dyDescent="0.3">
      <c r="A32" s="16" t="s">
        <v>35</v>
      </c>
      <c r="B32" s="47">
        <v>7200000</v>
      </c>
      <c r="C32" s="21"/>
      <c r="D32" s="25"/>
      <c r="E32" s="25"/>
      <c r="F32" s="21"/>
      <c r="G32" s="40">
        <v>0.42749999999999999</v>
      </c>
      <c r="H32" s="40"/>
      <c r="I32" s="21"/>
      <c r="J32" s="21"/>
      <c r="K32" s="48"/>
    </row>
    <row r="33" spans="1:11" x14ac:dyDescent="0.3">
      <c r="A33" s="16" t="s">
        <v>36</v>
      </c>
      <c r="B33" s="47">
        <v>66145185.909999996</v>
      </c>
      <c r="C33" s="21"/>
      <c r="D33" s="25"/>
      <c r="E33" s="25"/>
      <c r="F33" s="21"/>
      <c r="G33" s="40">
        <v>0.63490000000000002</v>
      </c>
      <c r="H33" s="40"/>
      <c r="I33" s="21"/>
      <c r="J33" s="21"/>
      <c r="K33" s="48"/>
    </row>
    <row r="34" spans="1:11" x14ac:dyDescent="0.3">
      <c r="A34" s="49" t="s">
        <v>37</v>
      </c>
      <c r="B34" s="47">
        <v>7700000</v>
      </c>
      <c r="C34" s="21"/>
      <c r="D34" s="25"/>
      <c r="E34" s="25"/>
      <c r="F34" s="21"/>
      <c r="G34" s="40">
        <v>0.75039999999999996</v>
      </c>
      <c r="H34" s="40"/>
      <c r="I34" s="21"/>
      <c r="J34" s="21"/>
      <c r="K34" s="48"/>
    </row>
    <row r="35" spans="1:11" x14ac:dyDescent="0.3">
      <c r="A35" s="49" t="s">
        <v>38</v>
      </c>
      <c r="B35" s="47">
        <v>1800000</v>
      </c>
      <c r="C35" s="21"/>
      <c r="D35" s="25"/>
      <c r="E35" s="25"/>
      <c r="F35" s="21"/>
      <c r="G35" s="40">
        <v>0.63319999999999999</v>
      </c>
      <c r="H35" s="40"/>
      <c r="I35" s="21"/>
      <c r="J35" s="21"/>
      <c r="K35" s="48"/>
    </row>
    <row r="36" spans="1:11" x14ac:dyDescent="0.3">
      <c r="A36" s="49" t="s">
        <v>39</v>
      </c>
      <c r="B36" s="47">
        <v>6800000</v>
      </c>
      <c r="C36" s="21"/>
      <c r="D36" s="25"/>
      <c r="E36" s="25"/>
      <c r="F36" s="21"/>
      <c r="G36" s="40">
        <v>0.83389999999999997</v>
      </c>
      <c r="H36" s="40"/>
      <c r="I36" s="21"/>
      <c r="J36" s="21"/>
      <c r="K36" s="48"/>
    </row>
    <row r="37" spans="1:11" x14ac:dyDescent="0.3">
      <c r="A37" s="32"/>
      <c r="B37" s="33"/>
      <c r="C37" s="33"/>
      <c r="D37" s="33"/>
      <c r="E37" s="33"/>
      <c r="F37" s="33"/>
      <c r="G37" s="33"/>
      <c r="H37" s="33"/>
      <c r="I37" s="33"/>
      <c r="J37" s="33"/>
      <c r="K37" s="34"/>
    </row>
    <row r="38" spans="1:11" x14ac:dyDescent="0.3">
      <c r="A38" s="35" t="s">
        <v>40</v>
      </c>
      <c r="B38" s="36"/>
      <c r="C38" s="36"/>
      <c r="D38" s="36"/>
      <c r="E38" s="36"/>
      <c r="F38" s="36"/>
      <c r="G38" s="36"/>
      <c r="H38" s="36"/>
      <c r="I38" s="36"/>
      <c r="J38" s="36"/>
      <c r="K38" s="37"/>
    </row>
    <row r="39" spans="1:11" x14ac:dyDescent="0.3">
      <c r="A39" s="16" t="s">
        <v>41</v>
      </c>
      <c r="B39" s="47">
        <v>1550000000</v>
      </c>
      <c r="C39" s="21"/>
      <c r="D39" s="25"/>
      <c r="E39" s="25"/>
      <c r="F39" s="21"/>
      <c r="G39" s="40">
        <v>0.18210000000000001</v>
      </c>
      <c r="H39" s="40"/>
      <c r="I39" s="21"/>
      <c r="J39" s="21"/>
      <c r="K39" s="48"/>
    </row>
    <row r="40" spans="1:11" x14ac:dyDescent="0.3">
      <c r="A40" s="50"/>
      <c r="B40" s="51"/>
      <c r="C40" s="51"/>
      <c r="D40" s="51"/>
      <c r="E40" s="51"/>
      <c r="F40" s="51"/>
      <c r="G40" s="51"/>
      <c r="H40" s="51"/>
      <c r="I40" s="51"/>
      <c r="J40" s="51"/>
      <c r="K40" s="52"/>
    </row>
    <row r="41" spans="1:11" x14ac:dyDescent="0.3">
      <c r="A41" s="35" t="s">
        <v>42</v>
      </c>
      <c r="B41" s="13">
        <f>SUM(B43:B47)</f>
        <v>339052142.19999999</v>
      </c>
      <c r="C41" s="36"/>
      <c r="D41" s="36"/>
      <c r="E41" s="36"/>
      <c r="F41" s="36"/>
      <c r="G41" s="36"/>
      <c r="H41" s="36"/>
      <c r="I41" s="36"/>
      <c r="J41" s="36"/>
      <c r="K41" s="37"/>
    </row>
    <row r="42" spans="1:11" x14ac:dyDescent="0.3">
      <c r="A42" s="53" t="s">
        <v>43</v>
      </c>
      <c r="B42" s="13"/>
      <c r="C42" s="36"/>
      <c r="D42" s="36"/>
      <c r="E42" s="36"/>
      <c r="F42" s="36"/>
      <c r="G42" s="36"/>
      <c r="H42" s="36"/>
      <c r="I42" s="36"/>
      <c r="J42" s="36"/>
      <c r="K42" s="37"/>
    </row>
    <row r="43" spans="1:11" x14ac:dyDescent="0.3">
      <c r="A43" s="54" t="s">
        <v>44</v>
      </c>
      <c r="B43" s="18">
        <v>219000000</v>
      </c>
      <c r="C43" s="21"/>
      <c r="D43" s="39"/>
      <c r="E43" s="20"/>
      <c r="F43" s="21"/>
      <c r="G43" s="22">
        <v>0.34420000000000001</v>
      </c>
      <c r="H43" s="26"/>
      <c r="I43" s="26"/>
      <c r="J43" s="26"/>
      <c r="K43" s="31"/>
    </row>
    <row r="44" spans="1:11" x14ac:dyDescent="0.3">
      <c r="A44" s="38" t="s">
        <v>45</v>
      </c>
      <c r="B44" s="23">
        <f>69352142.2+12200000</f>
        <v>81552142.200000003</v>
      </c>
      <c r="C44" s="21"/>
      <c r="D44" s="55"/>
      <c r="E44" s="20"/>
      <c r="F44" s="21"/>
      <c r="G44" s="40">
        <v>0.99809999999999999</v>
      </c>
      <c r="H44" s="23"/>
      <c r="I44" s="56"/>
      <c r="J44" s="57"/>
      <c r="K44" s="31"/>
    </row>
    <row r="45" spans="1:11" x14ac:dyDescent="0.3">
      <c r="A45" s="38" t="s">
        <v>46</v>
      </c>
      <c r="B45" s="23"/>
      <c r="C45" s="21"/>
      <c r="D45" s="58"/>
      <c r="E45" s="20"/>
      <c r="F45" s="21"/>
      <c r="G45" s="22">
        <v>0.62270000000000003</v>
      </c>
      <c r="H45" s="23"/>
      <c r="I45" s="59"/>
      <c r="J45" s="60"/>
      <c r="K45" s="31"/>
    </row>
    <row r="46" spans="1:11" x14ac:dyDescent="0.3">
      <c r="A46" s="38" t="s">
        <v>47</v>
      </c>
      <c r="B46" s="18">
        <v>38500000</v>
      </c>
      <c r="C46" s="21"/>
      <c r="D46" s="39"/>
      <c r="E46" s="20"/>
      <c r="F46" s="21"/>
      <c r="G46" s="22">
        <v>0.93879999999999997</v>
      </c>
      <c r="H46" s="26"/>
      <c r="I46" s="21"/>
      <c r="J46" s="26"/>
      <c r="K46" s="31"/>
    </row>
    <row r="47" spans="1:11" x14ac:dyDescent="0.3">
      <c r="A47" s="32"/>
      <c r="B47" s="33"/>
      <c r="C47" s="33"/>
      <c r="D47" s="33"/>
      <c r="E47" s="33"/>
      <c r="F47" s="33"/>
      <c r="G47" s="33"/>
      <c r="H47" s="33"/>
      <c r="I47" s="33"/>
      <c r="J47" s="33"/>
      <c r="K47" s="34"/>
    </row>
    <row r="48" spans="1:11" x14ac:dyDescent="0.3">
      <c r="A48" s="35" t="s">
        <v>48</v>
      </c>
      <c r="B48" s="36"/>
      <c r="C48" s="36"/>
      <c r="D48" s="36"/>
      <c r="E48" s="36"/>
      <c r="F48" s="36"/>
      <c r="G48" s="36"/>
      <c r="H48" s="36"/>
      <c r="I48" s="36"/>
      <c r="J48" s="36"/>
      <c r="K48" s="37"/>
    </row>
    <row r="49" spans="1:11" x14ac:dyDescent="0.3">
      <c r="A49" s="16" t="s">
        <v>49</v>
      </c>
      <c r="B49" s="47">
        <v>25000000</v>
      </c>
      <c r="C49" s="21"/>
      <c r="D49" s="21"/>
      <c r="E49" s="21"/>
      <c r="F49" s="21"/>
      <c r="G49" s="40">
        <v>0.11070000000000001</v>
      </c>
      <c r="H49" s="40"/>
      <c r="I49" s="21"/>
      <c r="J49" s="21"/>
      <c r="K49" s="31"/>
    </row>
    <row r="50" spans="1:11" x14ac:dyDescent="0.3">
      <c r="A50" s="32"/>
      <c r="B50" s="33"/>
      <c r="C50" s="33"/>
      <c r="D50" s="33"/>
      <c r="E50" s="33"/>
      <c r="F50" s="33"/>
      <c r="G50" s="33"/>
      <c r="H50" s="33"/>
      <c r="I50" s="33"/>
      <c r="J50" s="33"/>
      <c r="K50" s="34"/>
    </row>
    <row r="51" spans="1:11" x14ac:dyDescent="0.3">
      <c r="A51" s="35" t="s">
        <v>50</v>
      </c>
      <c r="B51" s="61"/>
      <c r="C51" s="61"/>
      <c r="D51" s="61"/>
      <c r="E51" s="61"/>
      <c r="F51" s="61"/>
      <c r="G51" s="61"/>
      <c r="H51" s="61"/>
      <c r="I51" s="61"/>
      <c r="J51" s="61"/>
      <c r="K51" s="62"/>
    </row>
    <row r="52" spans="1:11" x14ac:dyDescent="0.3">
      <c r="A52" s="49" t="s">
        <v>51</v>
      </c>
      <c r="B52" s="47">
        <v>28080020.079999998</v>
      </c>
      <c r="C52" s="21"/>
      <c r="D52" s="20"/>
      <c r="E52" s="20"/>
      <c r="F52" s="21"/>
      <c r="G52" s="40">
        <v>0.87419999999999998</v>
      </c>
      <c r="H52" s="40"/>
      <c r="I52" s="21"/>
      <c r="J52" s="21"/>
      <c r="K52" s="31"/>
    </row>
    <row r="53" spans="1:11" x14ac:dyDescent="0.3">
      <c r="A53" s="16" t="s">
        <v>52</v>
      </c>
      <c r="B53" s="47">
        <v>15332945.52</v>
      </c>
      <c r="C53" s="21"/>
      <c r="D53" s="20"/>
      <c r="E53" s="20"/>
      <c r="F53" s="21"/>
      <c r="G53" s="40">
        <v>0.1469</v>
      </c>
      <c r="H53" s="21"/>
      <c r="I53" s="21"/>
      <c r="J53" s="21"/>
      <c r="K53" s="31"/>
    </row>
    <row r="54" spans="1:11" x14ac:dyDescent="0.3">
      <c r="A54" s="32"/>
      <c r="B54" s="33"/>
      <c r="C54" s="33"/>
      <c r="D54" s="33"/>
      <c r="E54" s="33"/>
      <c r="F54" s="33"/>
      <c r="G54" s="33"/>
      <c r="H54" s="33"/>
      <c r="I54" s="33"/>
      <c r="J54" s="33"/>
      <c r="K54" s="34"/>
    </row>
    <row r="55" spans="1:11" x14ac:dyDescent="0.3">
      <c r="A55" s="35" t="s">
        <v>53</v>
      </c>
      <c r="B55" s="36"/>
      <c r="C55" s="36"/>
      <c r="D55" s="36"/>
      <c r="E55" s="36"/>
      <c r="F55" s="36"/>
      <c r="G55" s="36"/>
      <c r="H55" s="36"/>
      <c r="I55" s="36"/>
      <c r="J55" s="36"/>
      <c r="K55" s="37"/>
    </row>
    <row r="56" spans="1:11" x14ac:dyDescent="0.3">
      <c r="A56" s="53" t="s">
        <v>54</v>
      </c>
      <c r="B56" s="47">
        <v>8800000</v>
      </c>
      <c r="C56" s="21"/>
      <c r="D56" s="25"/>
      <c r="E56" s="25"/>
      <c r="F56" s="21"/>
      <c r="G56" s="40">
        <v>0.91749999999999998</v>
      </c>
      <c r="H56" s="21"/>
      <c r="I56" s="21"/>
      <c r="J56" s="21"/>
      <c r="K56" s="31"/>
    </row>
    <row r="57" spans="1:11" ht="15" thickBot="1" x14ac:dyDescent="0.35">
      <c r="A57" s="63" t="s">
        <v>55</v>
      </c>
      <c r="B57" s="64">
        <v>198000000</v>
      </c>
      <c r="C57" s="65"/>
      <c r="D57" s="65"/>
      <c r="E57" s="65"/>
      <c r="F57" s="65"/>
      <c r="G57" s="66">
        <v>4.1799999999999997E-2</v>
      </c>
      <c r="H57" s="66"/>
      <c r="I57" s="65"/>
      <c r="J57" s="65"/>
      <c r="K57" s="67"/>
    </row>
    <row r="58" spans="1:11" x14ac:dyDescent="0.3">
      <c r="A58" s="35" t="s">
        <v>56</v>
      </c>
      <c r="B58" s="36"/>
      <c r="C58" s="36"/>
      <c r="D58" s="36"/>
      <c r="E58" s="36"/>
      <c r="F58" s="36"/>
      <c r="G58" s="36"/>
      <c r="H58" s="36"/>
      <c r="I58" s="36"/>
      <c r="J58" s="36"/>
      <c r="K58" s="37"/>
    </row>
    <row r="59" spans="1:11" x14ac:dyDescent="0.3">
      <c r="A59" s="53" t="s">
        <v>57</v>
      </c>
      <c r="B59" s="47">
        <v>102000000</v>
      </c>
      <c r="C59" s="21"/>
      <c r="D59" s="25"/>
      <c r="E59" s="25"/>
      <c r="F59" s="21"/>
      <c r="G59" s="40">
        <v>0</v>
      </c>
      <c r="H59" s="21"/>
      <c r="I59" s="21"/>
      <c r="J59" s="21"/>
      <c r="K59" s="31"/>
    </row>
    <row r="60" spans="1:11" x14ac:dyDescent="0.3">
      <c r="A60" s="68" t="s">
        <v>58</v>
      </c>
      <c r="B60" s="69">
        <f>SUM(B6,B18,B23,B31,B39,B41,B49,B52,B53,B56,B57,B32,B33,B34,B35,B36,B59)</f>
        <v>5002609086.8800001</v>
      </c>
      <c r="C60" s="70"/>
      <c r="D60" s="70"/>
      <c r="E60" s="70"/>
    </row>
    <row r="61" spans="1:11" x14ac:dyDescent="0.3">
      <c r="A61" s="71" t="s">
        <v>59</v>
      </c>
      <c r="B61" s="72">
        <f>B60*0.05</f>
        <v>250130454.34400001</v>
      </c>
      <c r="C61" s="70"/>
      <c r="D61" s="70"/>
      <c r="E61" s="70"/>
    </row>
    <row r="62" spans="1:11" x14ac:dyDescent="0.3">
      <c r="A62" s="71" t="s">
        <v>60</v>
      </c>
      <c r="B62" s="72">
        <f>B60-B61</f>
        <v>4752478632.5360003</v>
      </c>
    </row>
    <row r="63" spans="1:11" x14ac:dyDescent="0.3">
      <c r="A63" s="71" t="s">
        <v>61</v>
      </c>
      <c r="B63" s="73">
        <f>B60*0.15</f>
        <v>750391363.03199995</v>
      </c>
    </row>
    <row r="64" spans="1:11" ht="15" thickBot="1" x14ac:dyDescent="0.35">
      <c r="A64" s="74" t="s">
        <v>62</v>
      </c>
      <c r="B64" s="75">
        <f>B62-B63</f>
        <v>4002087269.5040002</v>
      </c>
    </row>
  </sheetData>
  <mergeCells count="46">
    <mergeCell ref="A54:K54"/>
    <mergeCell ref="B55:K55"/>
    <mergeCell ref="B58:K58"/>
    <mergeCell ref="A47:K47"/>
    <mergeCell ref="B48:K48"/>
    <mergeCell ref="A50:K50"/>
    <mergeCell ref="B51:K51"/>
    <mergeCell ref="D52:D53"/>
    <mergeCell ref="E52:E53"/>
    <mergeCell ref="E43:E46"/>
    <mergeCell ref="B44:B45"/>
    <mergeCell ref="D44:D45"/>
    <mergeCell ref="H44:H45"/>
    <mergeCell ref="I44:I45"/>
    <mergeCell ref="J44:J45"/>
    <mergeCell ref="A29:K29"/>
    <mergeCell ref="B30:K30"/>
    <mergeCell ref="A37:K37"/>
    <mergeCell ref="B38:K38"/>
    <mergeCell ref="B41:B42"/>
    <mergeCell ref="C41:K42"/>
    <mergeCell ref="A17:K17"/>
    <mergeCell ref="B18:B19"/>
    <mergeCell ref="C18:K19"/>
    <mergeCell ref="A22:K22"/>
    <mergeCell ref="B23:B24"/>
    <mergeCell ref="C23:K24"/>
    <mergeCell ref="D8:D9"/>
    <mergeCell ref="E8:E9"/>
    <mergeCell ref="I8:I9"/>
    <mergeCell ref="K8:K9"/>
    <mergeCell ref="B13:K13"/>
    <mergeCell ref="D14:D15"/>
    <mergeCell ref="E14:E15"/>
    <mergeCell ref="H4:H5"/>
    <mergeCell ref="I4:I5"/>
    <mergeCell ref="J4:J5"/>
    <mergeCell ref="K4:K5"/>
    <mergeCell ref="B6:B7"/>
    <mergeCell ref="C6:K7"/>
    <mergeCell ref="A4:A5"/>
    <mergeCell ref="B4:B5"/>
    <mergeCell ref="C4:C5"/>
    <mergeCell ref="D4:D5"/>
    <mergeCell ref="E4:E5"/>
    <mergeCell ref="F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CSR New 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Escalona</dc:creator>
  <cp:lastModifiedBy>Ramon Escalona</cp:lastModifiedBy>
  <dcterms:created xsi:type="dcterms:W3CDTF">2026-03-11T08:54:16Z</dcterms:created>
  <dcterms:modified xsi:type="dcterms:W3CDTF">2026-03-11T08:54:37Z</dcterms:modified>
</cp:coreProperties>
</file>
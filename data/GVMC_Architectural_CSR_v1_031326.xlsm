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2.bin" ContentType="application/vnd.openxmlformats-officedocument.spreadsheetml.customProperty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f9cb5fd55618a6a/Desktop/Project Genesis/Terp New Projects/Great Valley Medical Center Architectural/"/>
    </mc:Choice>
  </mc:AlternateContent>
  <xr:revisionPtr revIDLastSave="0" documentId="8_{CBE9AD75-DE4D-476B-B01E-B304100789F1}" xr6:coauthVersionLast="47" xr6:coauthVersionMax="47" xr10:uidLastSave="{00000000-0000-0000-0000-000000000000}"/>
  <bookViews>
    <workbookView xWindow="-120" yWindow="-120" windowWidth="29040" windowHeight="15720" xr2:uid="{022404AF-199B-46DC-AB0E-F732C6B5715E}"/>
  </bookViews>
  <sheets>
    <sheet name="CTC Template" sheetId="1" r:id="rId1"/>
    <sheet name="Controls" sheetId="2" state="veryHidden" r:id="rId2"/>
  </sheets>
  <functionGroups builtInGroupCount="19"/>
  <definedNames>
    <definedName name="API_Link">Controls!$C$14</definedName>
    <definedName name="API_TerpApp">Controls!$C$15</definedName>
    <definedName name="ColumnAOnly">Controls!$C$30</definedName>
    <definedName name="ColumnFieldsSource">Controls!$C$23</definedName>
    <definedName name="ColumnFieldStartRange">Controls!$C$22</definedName>
    <definedName name="DgOcMainFolder">Controls!$C$35</definedName>
    <definedName name="EnableFreezePane">Controls!$C$29</definedName>
    <definedName name="EnableRowGrouping">Controls!$C$28</definedName>
    <definedName name="EnableRowSuppression">Controls!$C$27</definedName>
    <definedName name="FormatTable">Controls!$B$39:$D$60</definedName>
    <definedName name="IsDataChanged">Controls!$C$24</definedName>
    <definedName name="IsProjectSelectionDgOc">Controls!$C$36</definedName>
    <definedName name="LoginOnOpen">Controls!$C$34</definedName>
    <definedName name="LoginUser">Controls!$C$31</definedName>
    <definedName name="LoginUserName">Controls!$C$32</definedName>
    <definedName name="RemarksTable">Controls!$B$62:$D$63</definedName>
    <definedName name="RowFieldRange">Controls!$C$20</definedName>
    <definedName name="RowFields">Controls!$C$21</definedName>
    <definedName name="SelectedCostBreakdown">Controls!$C$17</definedName>
    <definedName name="SelectedCostBreakdownDesc">Controls!$C$19</definedName>
    <definedName name="SelectedProject">Controls!$C$16</definedName>
    <definedName name="SelectedProjectDesc">Controls!$C$18</definedName>
    <definedName name="SetReadOnlyOnOpen">Controls!$C$37</definedName>
    <definedName name="SourceHeaders">Controls!$C$25</definedName>
    <definedName name="TotalFormulaSource">Controls!$C$26</definedName>
    <definedName name="UpdateDate">Controls!$C$33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6" i="1" l="1"/>
  <c r="L18" i="1"/>
  <c r="L19" i="1"/>
  <c r="L20" i="1"/>
  <c r="L21" i="1"/>
  <c r="L23" i="1"/>
  <c r="L24" i="1"/>
  <c r="L27" i="1"/>
  <c r="L28" i="1"/>
  <c r="L30" i="1"/>
  <c r="L31" i="1"/>
  <c r="L33" i="1"/>
  <c r="L34" i="1"/>
  <c r="L35" i="1"/>
  <c r="L36" i="1"/>
  <c r="L37" i="1"/>
  <c r="L40" i="1"/>
  <c r="L42" i="1"/>
  <c r="L44" i="1"/>
  <c r="L47" i="1"/>
  <c r="L48" i="1"/>
  <c r="L49" i="1"/>
  <c r="L51" i="1"/>
  <c r="L53" i="1"/>
  <c r="L55" i="1"/>
  <c r="L56" i="1"/>
  <c r="L58" i="1"/>
  <c r="L60" i="1"/>
  <c r="L63" i="1"/>
  <c r="L65" i="1"/>
  <c r="L66" i="1"/>
  <c r="L67" i="1"/>
  <c r="L71" i="1"/>
  <c r="L72" i="1"/>
  <c r="L73" i="1"/>
  <c r="L74" i="1"/>
  <c r="L75" i="1"/>
  <c r="L77" i="1"/>
  <c r="L78" i="1"/>
  <c r="L80" i="1"/>
  <c r="L83" i="1"/>
  <c r="L87" i="1"/>
  <c r="L88" i="1"/>
  <c r="L89" i="1"/>
  <c r="L90" i="1"/>
  <c r="L91" i="1"/>
  <c r="L92" i="1"/>
  <c r="L93" i="1"/>
  <c r="L94" i="1"/>
  <c r="L95" i="1"/>
  <c r="L96" i="1"/>
  <c r="L97" i="1"/>
  <c r="L100" i="1"/>
  <c r="L101" i="1"/>
  <c r="L102" i="1"/>
  <c r="L105" i="1"/>
  <c r="L106" i="1"/>
  <c r="L107" i="1"/>
  <c r="L108" i="1"/>
  <c r="L110" i="1"/>
  <c r="L112" i="1"/>
  <c r="L113" i="1"/>
  <c r="L115" i="1"/>
  <c r="L116" i="1"/>
  <c r="L118" i="1"/>
  <c r="L119" i="1"/>
  <c r="L120" i="1"/>
  <c r="L121" i="1"/>
  <c r="L122" i="1"/>
  <c r="L124" i="1"/>
  <c r="L125" i="1"/>
  <c r="T16" i="1"/>
  <c r="T18" i="1"/>
  <c r="T19" i="1"/>
  <c r="T20" i="1"/>
  <c r="T21" i="1"/>
  <c r="T23" i="1"/>
  <c r="T24" i="1"/>
  <c r="T27" i="1"/>
  <c r="T28" i="1"/>
  <c r="T30" i="1"/>
  <c r="T31" i="1"/>
  <c r="T33" i="1"/>
  <c r="T34" i="1"/>
  <c r="T35" i="1"/>
  <c r="T37" i="1"/>
  <c r="T40" i="1"/>
  <c r="T42" i="1"/>
  <c r="T44" i="1"/>
  <c r="T47" i="1"/>
  <c r="T49" i="1"/>
  <c r="T51" i="1"/>
  <c r="T53" i="1"/>
  <c r="T54" i="1"/>
  <c r="T55" i="1"/>
  <c r="T56" i="1"/>
  <c r="T58" i="1"/>
  <c r="T60" i="1"/>
  <c r="T63" i="1"/>
  <c r="T65" i="1"/>
  <c r="T66" i="1"/>
  <c r="T67" i="1"/>
  <c r="T71" i="1"/>
  <c r="T73" i="1"/>
  <c r="T74" i="1"/>
  <c r="T75" i="1"/>
  <c r="T77" i="1"/>
  <c r="T78" i="1"/>
  <c r="T80" i="1"/>
  <c r="T83" i="1"/>
  <c r="T87" i="1"/>
  <c r="T88" i="1"/>
  <c r="T89" i="1"/>
  <c r="T90" i="1"/>
  <c r="T91" i="1"/>
  <c r="T92" i="1"/>
  <c r="T93" i="1"/>
  <c r="T94" i="1"/>
  <c r="T95" i="1"/>
  <c r="T97" i="1"/>
  <c r="T100" i="1"/>
  <c r="T101" i="1"/>
  <c r="T102" i="1"/>
  <c r="T105" i="1"/>
  <c r="T106" i="1"/>
  <c r="T107" i="1"/>
  <c r="T108" i="1"/>
  <c r="T110" i="1"/>
  <c r="T112" i="1"/>
  <c r="T113" i="1"/>
  <c r="T114" i="1"/>
  <c r="T115" i="1"/>
  <c r="T116" i="1"/>
  <c r="T118" i="1"/>
  <c r="T119" i="1"/>
  <c r="T121" i="1"/>
  <c r="T122" i="1"/>
  <c r="T124" i="1"/>
  <c r="T125" i="1"/>
  <c r="AB16" i="1"/>
  <c r="AB18" i="1"/>
  <c r="AB19" i="1"/>
  <c r="AB20" i="1"/>
  <c r="AB21" i="1"/>
  <c r="AB23" i="1"/>
  <c r="AB24" i="1"/>
  <c r="AB27" i="1"/>
  <c r="AB28" i="1"/>
  <c r="AB30" i="1"/>
  <c r="AB31" i="1"/>
  <c r="AB33" i="1"/>
  <c r="AB34" i="1"/>
  <c r="AB35" i="1"/>
  <c r="AB37" i="1"/>
  <c r="AB40" i="1"/>
  <c r="AB42" i="1"/>
  <c r="AB44" i="1"/>
  <c r="AB47" i="1"/>
  <c r="AB49" i="1"/>
  <c r="AB51" i="1"/>
  <c r="AB53" i="1"/>
  <c r="AB55" i="1"/>
  <c r="AB56" i="1"/>
  <c r="AB58" i="1"/>
  <c r="AB60" i="1"/>
  <c r="AB63" i="1"/>
  <c r="AB65" i="1"/>
  <c r="AB66" i="1"/>
  <c r="AB67" i="1"/>
  <c r="AB71" i="1"/>
  <c r="AB73" i="1"/>
  <c r="AB74" i="1"/>
  <c r="AB75" i="1"/>
  <c r="AB77" i="1"/>
  <c r="AB78" i="1"/>
  <c r="AB80" i="1"/>
  <c r="AB83" i="1"/>
  <c r="AB87" i="1"/>
  <c r="AB88" i="1"/>
  <c r="AB89" i="1"/>
  <c r="AB90" i="1"/>
  <c r="AB91" i="1"/>
  <c r="AB92" i="1"/>
  <c r="AB93" i="1"/>
  <c r="AB94" i="1"/>
  <c r="AB95" i="1"/>
  <c r="AB97" i="1"/>
  <c r="AB100" i="1"/>
  <c r="AB101" i="1"/>
  <c r="AB102" i="1"/>
  <c r="AB105" i="1"/>
  <c r="AB106" i="1"/>
  <c r="AB107" i="1"/>
  <c r="AB108" i="1"/>
  <c r="AB110" i="1"/>
  <c r="AB112" i="1"/>
  <c r="AB113" i="1"/>
  <c r="AB115" i="1"/>
  <c r="AB116" i="1"/>
  <c r="AB118" i="1"/>
  <c r="AB119" i="1"/>
  <c r="AB121" i="1"/>
  <c r="AB122" i="1"/>
  <c r="AB124" i="1"/>
  <c r="AB125" i="1"/>
  <c r="AI16" i="1"/>
  <c r="AI18" i="1"/>
  <c r="AI19" i="1"/>
  <c r="AI20" i="1"/>
  <c r="AI21" i="1"/>
  <c r="AI23" i="1"/>
  <c r="AI24" i="1"/>
  <c r="AI27" i="1"/>
  <c r="AI28" i="1"/>
  <c r="AI30" i="1"/>
  <c r="AI31" i="1"/>
  <c r="AI33" i="1"/>
  <c r="AI34" i="1"/>
  <c r="AI35" i="1"/>
  <c r="AI37" i="1"/>
  <c r="AI40" i="1"/>
  <c r="AI42" i="1"/>
  <c r="AI44" i="1"/>
  <c r="AI47" i="1"/>
  <c r="AI49" i="1"/>
  <c r="AI51" i="1"/>
  <c r="AI53" i="1"/>
  <c r="AI55" i="1"/>
  <c r="AI56" i="1"/>
  <c r="AI58" i="1"/>
  <c r="AI60" i="1"/>
  <c r="AI63" i="1"/>
  <c r="AI65" i="1"/>
  <c r="AI66" i="1"/>
  <c r="AI67" i="1"/>
  <c r="AI71" i="1"/>
  <c r="AI73" i="1"/>
  <c r="AI74" i="1"/>
  <c r="AI75" i="1"/>
  <c r="AI77" i="1"/>
  <c r="AI78" i="1"/>
  <c r="AI80" i="1"/>
  <c r="AI83" i="1"/>
  <c r="AI87" i="1"/>
  <c r="AI88" i="1"/>
  <c r="AI89" i="1"/>
  <c r="AI90" i="1"/>
  <c r="AI91" i="1"/>
  <c r="AI92" i="1"/>
  <c r="AI93" i="1"/>
  <c r="AI94" i="1"/>
  <c r="AI95" i="1"/>
  <c r="AI97" i="1"/>
  <c r="AI100" i="1"/>
  <c r="AI101" i="1"/>
  <c r="AI102" i="1"/>
  <c r="AI105" i="1"/>
  <c r="AI106" i="1"/>
  <c r="AI107" i="1"/>
  <c r="AI108" i="1"/>
  <c r="AI110" i="1"/>
  <c r="AI112" i="1"/>
  <c r="AI113" i="1"/>
  <c r="AI115" i="1"/>
  <c r="AI116" i="1"/>
  <c r="AI118" i="1"/>
  <c r="AI119" i="1"/>
  <c r="AI121" i="1"/>
  <c r="AI122" i="1"/>
  <c r="AI124" i="1"/>
  <c r="AI125" i="1"/>
  <c r="AH16" i="1"/>
  <c r="AH18" i="1"/>
  <c r="AH19" i="1"/>
  <c r="AH20" i="1"/>
  <c r="AH21" i="1"/>
  <c r="AH23" i="1"/>
  <c r="AH24" i="1"/>
  <c r="AH27" i="1"/>
  <c r="AH28" i="1"/>
  <c r="AH30" i="1"/>
  <c r="AH31" i="1"/>
  <c r="AH33" i="1"/>
  <c r="AH34" i="1"/>
  <c r="AH35" i="1"/>
  <c r="AH37" i="1"/>
  <c r="AH40" i="1"/>
  <c r="AH42" i="1"/>
  <c r="AH44" i="1"/>
  <c r="AH47" i="1"/>
  <c r="AH49" i="1"/>
  <c r="AH51" i="1"/>
  <c r="AH53" i="1"/>
  <c r="AH54" i="1"/>
  <c r="AH55" i="1"/>
  <c r="AH56" i="1"/>
  <c r="AH58" i="1"/>
  <c r="AH60" i="1"/>
  <c r="AH63" i="1"/>
  <c r="AH65" i="1"/>
  <c r="AH66" i="1"/>
  <c r="AH67" i="1"/>
  <c r="AH71" i="1"/>
  <c r="AH73" i="1"/>
  <c r="AH74" i="1"/>
  <c r="AH75" i="1"/>
  <c r="AH77" i="1"/>
  <c r="AH78" i="1"/>
  <c r="AH80" i="1"/>
  <c r="AH83" i="1"/>
  <c r="AH87" i="1"/>
  <c r="AH88" i="1"/>
  <c r="AH89" i="1"/>
  <c r="AH90" i="1"/>
  <c r="AH91" i="1"/>
  <c r="AH92" i="1"/>
  <c r="AH93" i="1"/>
  <c r="AH94" i="1"/>
  <c r="AH95" i="1"/>
  <c r="AH97" i="1"/>
  <c r="AH100" i="1"/>
  <c r="AH101" i="1"/>
  <c r="AH102" i="1"/>
  <c r="AH105" i="1"/>
  <c r="AH106" i="1"/>
  <c r="AH107" i="1"/>
  <c r="AH108" i="1"/>
  <c r="AH110" i="1"/>
  <c r="AH112" i="1"/>
  <c r="AH113" i="1"/>
  <c r="AH114" i="1"/>
  <c r="AH115" i="1"/>
  <c r="AH116" i="1"/>
  <c r="AH118" i="1"/>
  <c r="AH119" i="1"/>
  <c r="AH121" i="1"/>
  <c r="AH122" i="1"/>
  <c r="AH124" i="1"/>
  <c r="AH125" i="1"/>
  <c r="AG16" i="1"/>
  <c r="AG18" i="1"/>
  <c r="AG19" i="1"/>
  <c r="AG20" i="1"/>
  <c r="AG21" i="1"/>
  <c r="AG23" i="1"/>
  <c r="AG24" i="1"/>
  <c r="AG27" i="1"/>
  <c r="AG28" i="1"/>
  <c r="AG30" i="1"/>
  <c r="AG31" i="1"/>
  <c r="AG33" i="1"/>
  <c r="AG34" i="1"/>
  <c r="AG35" i="1"/>
  <c r="AG36" i="1"/>
  <c r="AG37" i="1"/>
  <c r="AG40" i="1"/>
  <c r="AG42" i="1"/>
  <c r="AG44" i="1"/>
  <c r="AG47" i="1"/>
  <c r="AG48" i="1"/>
  <c r="AG49" i="1"/>
  <c r="AG51" i="1"/>
  <c r="AG53" i="1"/>
  <c r="AG55" i="1"/>
  <c r="AG56" i="1"/>
  <c r="AG58" i="1"/>
  <c r="AG60" i="1"/>
  <c r="AG63" i="1"/>
  <c r="AG65" i="1"/>
  <c r="AG66" i="1"/>
  <c r="AG67" i="1"/>
  <c r="AG71" i="1"/>
  <c r="AG72" i="1"/>
  <c r="AG73" i="1"/>
  <c r="AG74" i="1"/>
  <c r="AG75" i="1"/>
  <c r="AG77" i="1"/>
  <c r="AG78" i="1"/>
  <c r="AG80" i="1"/>
  <c r="AG83" i="1"/>
  <c r="AG87" i="1"/>
  <c r="AG88" i="1"/>
  <c r="AG89" i="1"/>
  <c r="AG90" i="1"/>
  <c r="AG91" i="1"/>
  <c r="AG92" i="1"/>
  <c r="AG93" i="1"/>
  <c r="AG94" i="1"/>
  <c r="AG95" i="1"/>
  <c r="AG96" i="1"/>
  <c r="AG97" i="1"/>
  <c r="AG100" i="1"/>
  <c r="AG101" i="1"/>
  <c r="AG102" i="1"/>
  <c r="AG105" i="1"/>
  <c r="AG106" i="1"/>
  <c r="AG107" i="1"/>
  <c r="AG108" i="1"/>
  <c r="AG110" i="1"/>
  <c r="AG112" i="1"/>
  <c r="AG113" i="1"/>
  <c r="AG115" i="1"/>
  <c r="AG116" i="1"/>
  <c r="AG118" i="1"/>
  <c r="AG119" i="1"/>
  <c r="AG120" i="1"/>
  <c r="AG121" i="1"/>
  <c r="AG122" i="1"/>
  <c r="AG124" i="1"/>
  <c r="AG125" i="1"/>
  <c r="AF16" i="1"/>
  <c r="AJ16" i="1" s="1"/>
  <c r="AF18" i="1"/>
  <c r="AJ18" i="1" s="1"/>
  <c r="AF19" i="1"/>
  <c r="AJ19" i="1" s="1"/>
  <c r="AF20" i="1"/>
  <c r="AJ20" i="1" s="1"/>
  <c r="AF21" i="1"/>
  <c r="AJ21" i="1" s="1"/>
  <c r="AF23" i="1"/>
  <c r="AJ23" i="1" s="1"/>
  <c r="AF24" i="1"/>
  <c r="AJ24" i="1" s="1"/>
  <c r="AF27" i="1"/>
  <c r="AJ27" i="1" s="1"/>
  <c r="AF28" i="1"/>
  <c r="AJ28" i="1" s="1"/>
  <c r="AF30" i="1"/>
  <c r="AJ30" i="1" s="1"/>
  <c r="AF31" i="1"/>
  <c r="AJ31" i="1" s="1"/>
  <c r="AF33" i="1"/>
  <c r="AJ33" i="1" s="1"/>
  <c r="AF34" i="1"/>
  <c r="AJ34" i="1" s="1"/>
  <c r="AF35" i="1"/>
  <c r="AJ35" i="1" s="1"/>
  <c r="AF37" i="1"/>
  <c r="AJ37" i="1" s="1"/>
  <c r="AF40" i="1"/>
  <c r="AJ40" i="1" s="1"/>
  <c r="AF42" i="1"/>
  <c r="AJ42" i="1" s="1"/>
  <c r="AF44" i="1"/>
  <c r="AJ44" i="1" s="1"/>
  <c r="AF47" i="1"/>
  <c r="AJ47" i="1" s="1"/>
  <c r="AF49" i="1"/>
  <c r="AJ49" i="1" s="1"/>
  <c r="AF51" i="1"/>
  <c r="AJ51" i="1" s="1"/>
  <c r="AF53" i="1"/>
  <c r="AJ53" i="1" s="1"/>
  <c r="AF54" i="1"/>
  <c r="AF55" i="1"/>
  <c r="AJ55" i="1" s="1"/>
  <c r="AF56" i="1"/>
  <c r="AJ56" i="1" s="1"/>
  <c r="AF58" i="1"/>
  <c r="AJ58" i="1" s="1"/>
  <c r="AF60" i="1"/>
  <c r="AJ60" i="1" s="1"/>
  <c r="AF63" i="1"/>
  <c r="AJ63" i="1" s="1"/>
  <c r="AF65" i="1"/>
  <c r="AJ65" i="1" s="1"/>
  <c r="AF66" i="1"/>
  <c r="AJ66" i="1" s="1"/>
  <c r="AF67" i="1"/>
  <c r="AJ67" i="1" s="1"/>
  <c r="AF71" i="1"/>
  <c r="AJ71" i="1" s="1"/>
  <c r="AF73" i="1"/>
  <c r="AJ73" i="1" s="1"/>
  <c r="AF74" i="1"/>
  <c r="AJ74" i="1" s="1"/>
  <c r="AF75" i="1"/>
  <c r="AJ75" i="1" s="1"/>
  <c r="AF77" i="1"/>
  <c r="AJ77" i="1" s="1"/>
  <c r="AF78" i="1"/>
  <c r="AJ78" i="1" s="1"/>
  <c r="AF80" i="1"/>
  <c r="AJ80" i="1" s="1"/>
  <c r="AF83" i="1"/>
  <c r="AJ83" i="1" s="1"/>
  <c r="AF87" i="1"/>
  <c r="AJ87" i="1" s="1"/>
  <c r="AF88" i="1"/>
  <c r="AJ88" i="1" s="1"/>
  <c r="AF89" i="1"/>
  <c r="AJ89" i="1" s="1"/>
  <c r="AF90" i="1"/>
  <c r="AJ90" i="1" s="1"/>
  <c r="AF91" i="1"/>
  <c r="AJ91" i="1" s="1"/>
  <c r="AF92" i="1"/>
  <c r="AJ92" i="1" s="1"/>
  <c r="AF93" i="1"/>
  <c r="AJ93" i="1" s="1"/>
  <c r="AF94" i="1"/>
  <c r="AJ94" i="1" s="1"/>
  <c r="AF95" i="1"/>
  <c r="AJ95" i="1" s="1"/>
  <c r="AF97" i="1"/>
  <c r="AJ97" i="1" s="1"/>
  <c r="AF100" i="1"/>
  <c r="AJ100" i="1" s="1"/>
  <c r="AF101" i="1"/>
  <c r="AJ101" i="1" s="1"/>
  <c r="AF102" i="1"/>
  <c r="AJ102" i="1" s="1"/>
  <c r="AF105" i="1"/>
  <c r="AJ105" i="1" s="1"/>
  <c r="AF106" i="1"/>
  <c r="AJ106" i="1" s="1"/>
  <c r="AF107" i="1"/>
  <c r="AJ107" i="1" s="1"/>
  <c r="AF108" i="1"/>
  <c r="AJ108" i="1" s="1"/>
  <c r="AF110" i="1"/>
  <c r="AJ110" i="1" s="1"/>
  <c r="AF112" i="1"/>
  <c r="AJ112" i="1" s="1"/>
  <c r="AF113" i="1"/>
  <c r="AJ113" i="1" s="1"/>
  <c r="AF114" i="1"/>
  <c r="AF115" i="1"/>
  <c r="AJ115" i="1" s="1"/>
  <c r="AF116" i="1"/>
  <c r="AJ116" i="1" s="1"/>
  <c r="AF118" i="1"/>
  <c r="AJ118" i="1" s="1"/>
  <c r="AF119" i="1"/>
  <c r="AJ119" i="1" s="1"/>
  <c r="AF121" i="1"/>
  <c r="AJ121" i="1" s="1"/>
  <c r="AF122" i="1"/>
  <c r="AJ122" i="1" s="1"/>
  <c r="AF124" i="1"/>
  <c r="AJ124" i="1" s="1"/>
  <c r="AF125" i="1"/>
  <c r="AJ125" i="1" s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H15" i="1"/>
  <c r="H14" i="1" s="1"/>
  <c r="I15" i="1"/>
  <c r="I14" i="1" s="1"/>
  <c r="I13" i="1" s="1"/>
  <c r="J15" i="1"/>
  <c r="J14" i="1" s="1"/>
  <c r="K15" i="1"/>
  <c r="K14" i="1" s="1"/>
  <c r="P15" i="1"/>
  <c r="P14" i="1" s="1"/>
  <c r="Q15" i="1"/>
  <c r="Q14" i="1" s="1"/>
  <c r="R15" i="1"/>
  <c r="R14" i="1" s="1"/>
  <c r="S15" i="1"/>
  <c r="S14" i="1" s="1"/>
  <c r="X15" i="1"/>
  <c r="AB15" i="1" s="1"/>
  <c r="Y15" i="1"/>
  <c r="AG15" i="1" s="1"/>
  <c r="Z15" i="1"/>
  <c r="AH15" i="1" s="1"/>
  <c r="AA15" i="1"/>
  <c r="AI15" i="1" s="1"/>
  <c r="H17" i="1"/>
  <c r="L17" i="1" s="1"/>
  <c r="I17" i="1"/>
  <c r="J17" i="1"/>
  <c r="K17" i="1"/>
  <c r="P17" i="1"/>
  <c r="T17" i="1" s="1"/>
  <c r="Q17" i="1"/>
  <c r="R17" i="1"/>
  <c r="S17" i="1"/>
  <c r="X17" i="1"/>
  <c r="AB17" i="1" s="1"/>
  <c r="Y17" i="1"/>
  <c r="AG17" i="1" s="1"/>
  <c r="Z17" i="1"/>
  <c r="AH17" i="1" s="1"/>
  <c r="AA17" i="1"/>
  <c r="AI17" i="1" s="1"/>
  <c r="H22" i="1"/>
  <c r="L22" i="1" s="1"/>
  <c r="I22" i="1"/>
  <c r="J22" i="1"/>
  <c r="K22" i="1"/>
  <c r="P22" i="1"/>
  <c r="T22" i="1" s="1"/>
  <c r="Q22" i="1"/>
  <c r="R22" i="1"/>
  <c r="S22" i="1"/>
  <c r="X22" i="1"/>
  <c r="AF22" i="1" s="1"/>
  <c r="Y22" i="1"/>
  <c r="AG22" i="1" s="1"/>
  <c r="Z22" i="1"/>
  <c r="AH22" i="1" s="1"/>
  <c r="AA22" i="1"/>
  <c r="AI22" i="1" s="1"/>
  <c r="H26" i="1"/>
  <c r="H25" i="1" s="1"/>
  <c r="I26" i="1"/>
  <c r="I25" i="1" s="1"/>
  <c r="J26" i="1"/>
  <c r="J25" i="1" s="1"/>
  <c r="K26" i="1"/>
  <c r="K25" i="1" s="1"/>
  <c r="P26" i="1"/>
  <c r="P25" i="1" s="1"/>
  <c r="Q26" i="1"/>
  <c r="Q25" i="1" s="1"/>
  <c r="R26" i="1"/>
  <c r="R25" i="1" s="1"/>
  <c r="S26" i="1"/>
  <c r="S25" i="1" s="1"/>
  <c r="X26" i="1"/>
  <c r="AB26" i="1" s="1"/>
  <c r="Y26" i="1"/>
  <c r="AG26" i="1" s="1"/>
  <c r="Z26" i="1"/>
  <c r="AH26" i="1" s="1"/>
  <c r="AA26" i="1"/>
  <c r="AI26" i="1" s="1"/>
  <c r="H29" i="1"/>
  <c r="L29" i="1" s="1"/>
  <c r="I29" i="1"/>
  <c r="J29" i="1"/>
  <c r="K29" i="1"/>
  <c r="P29" i="1"/>
  <c r="T29" i="1" s="1"/>
  <c r="Q29" i="1"/>
  <c r="R29" i="1"/>
  <c r="S29" i="1"/>
  <c r="X29" i="1"/>
  <c r="AB29" i="1" s="1"/>
  <c r="Y29" i="1"/>
  <c r="AG29" i="1" s="1"/>
  <c r="Z29" i="1"/>
  <c r="AH29" i="1" s="1"/>
  <c r="AA29" i="1"/>
  <c r="AI29" i="1" s="1"/>
  <c r="H32" i="1"/>
  <c r="L32" i="1" s="1"/>
  <c r="I32" i="1"/>
  <c r="J32" i="1"/>
  <c r="K32" i="1"/>
  <c r="P32" i="1"/>
  <c r="T32" i="1" s="1"/>
  <c r="Q32" i="1"/>
  <c r="R32" i="1"/>
  <c r="S32" i="1"/>
  <c r="X32" i="1"/>
  <c r="AF32" i="1" s="1"/>
  <c r="Y32" i="1"/>
  <c r="AG32" i="1" s="1"/>
  <c r="Z32" i="1"/>
  <c r="AH32" i="1" s="1"/>
  <c r="AA32" i="1"/>
  <c r="AI32" i="1" s="1"/>
  <c r="H36" i="1"/>
  <c r="I36" i="1"/>
  <c r="J36" i="1"/>
  <c r="K36" i="1"/>
  <c r="P36" i="1"/>
  <c r="T36" i="1" s="1"/>
  <c r="Q36" i="1"/>
  <c r="R36" i="1"/>
  <c r="S36" i="1"/>
  <c r="X36" i="1"/>
  <c r="AF36" i="1" s="1"/>
  <c r="Y36" i="1"/>
  <c r="Z36" i="1"/>
  <c r="AH36" i="1" s="1"/>
  <c r="AA36" i="1"/>
  <c r="AB36" i="1" s="1"/>
  <c r="H39" i="1"/>
  <c r="H38" i="1" s="1"/>
  <c r="I39" i="1"/>
  <c r="I38" i="1" s="1"/>
  <c r="J39" i="1"/>
  <c r="J38" i="1" s="1"/>
  <c r="K39" i="1"/>
  <c r="K38" i="1" s="1"/>
  <c r="P39" i="1"/>
  <c r="P38" i="1" s="1"/>
  <c r="Q39" i="1"/>
  <c r="Q38" i="1" s="1"/>
  <c r="R39" i="1"/>
  <c r="R38" i="1" s="1"/>
  <c r="S39" i="1"/>
  <c r="S38" i="1" s="1"/>
  <c r="X39" i="1"/>
  <c r="AB39" i="1" s="1"/>
  <c r="Y39" i="1"/>
  <c r="AG39" i="1" s="1"/>
  <c r="Z39" i="1"/>
  <c r="AH39" i="1" s="1"/>
  <c r="AA39" i="1"/>
  <c r="AI39" i="1" s="1"/>
  <c r="H41" i="1"/>
  <c r="L41" i="1" s="1"/>
  <c r="I41" i="1"/>
  <c r="J41" i="1"/>
  <c r="K41" i="1"/>
  <c r="P41" i="1"/>
  <c r="T41" i="1" s="1"/>
  <c r="Q41" i="1"/>
  <c r="R41" i="1"/>
  <c r="S41" i="1"/>
  <c r="X41" i="1"/>
  <c r="AB41" i="1" s="1"/>
  <c r="Y41" i="1"/>
  <c r="AG41" i="1" s="1"/>
  <c r="Z41" i="1"/>
  <c r="AH41" i="1" s="1"/>
  <c r="AA41" i="1"/>
  <c r="AI41" i="1" s="1"/>
  <c r="H43" i="1"/>
  <c r="L43" i="1" s="1"/>
  <c r="I43" i="1"/>
  <c r="J43" i="1"/>
  <c r="K43" i="1"/>
  <c r="P43" i="1"/>
  <c r="T43" i="1" s="1"/>
  <c r="Q43" i="1"/>
  <c r="R43" i="1"/>
  <c r="S43" i="1"/>
  <c r="X43" i="1"/>
  <c r="AF43" i="1" s="1"/>
  <c r="Y43" i="1"/>
  <c r="AG43" i="1" s="1"/>
  <c r="Z43" i="1"/>
  <c r="AH43" i="1" s="1"/>
  <c r="AA43" i="1"/>
  <c r="AI43" i="1" s="1"/>
  <c r="H46" i="1"/>
  <c r="H45" i="1" s="1"/>
  <c r="I46" i="1"/>
  <c r="I45" i="1" s="1"/>
  <c r="J46" i="1"/>
  <c r="J45" i="1" s="1"/>
  <c r="K46" i="1"/>
  <c r="K45" i="1" s="1"/>
  <c r="P46" i="1"/>
  <c r="T46" i="1" s="1"/>
  <c r="Q46" i="1"/>
  <c r="Q45" i="1" s="1"/>
  <c r="R46" i="1"/>
  <c r="R45" i="1" s="1"/>
  <c r="S46" i="1"/>
  <c r="S45" i="1" s="1"/>
  <c r="X46" i="1"/>
  <c r="AF46" i="1" s="1"/>
  <c r="Y46" i="1"/>
  <c r="AG46" i="1" s="1"/>
  <c r="Z46" i="1"/>
  <c r="AH46" i="1" s="1"/>
  <c r="AA46" i="1"/>
  <c r="AA45" i="1" s="1"/>
  <c r="AI45" i="1" s="1"/>
  <c r="H48" i="1"/>
  <c r="I48" i="1"/>
  <c r="J48" i="1"/>
  <c r="K48" i="1"/>
  <c r="P48" i="1"/>
  <c r="T48" i="1" s="1"/>
  <c r="Q48" i="1"/>
  <c r="R48" i="1"/>
  <c r="S48" i="1"/>
  <c r="X48" i="1"/>
  <c r="AF48" i="1" s="1"/>
  <c r="Y48" i="1"/>
  <c r="Z48" i="1"/>
  <c r="AH48" i="1" s="1"/>
  <c r="AA48" i="1"/>
  <c r="AI48" i="1" s="1"/>
  <c r="H50" i="1"/>
  <c r="L50" i="1" s="1"/>
  <c r="I50" i="1"/>
  <c r="J50" i="1"/>
  <c r="K50" i="1"/>
  <c r="P50" i="1"/>
  <c r="T50" i="1" s="1"/>
  <c r="Q50" i="1"/>
  <c r="R50" i="1"/>
  <c r="S50" i="1"/>
  <c r="X50" i="1"/>
  <c r="AB50" i="1" s="1"/>
  <c r="Y50" i="1"/>
  <c r="AG50" i="1" s="1"/>
  <c r="Z50" i="1"/>
  <c r="AH50" i="1" s="1"/>
  <c r="AA50" i="1"/>
  <c r="AI50" i="1" s="1"/>
  <c r="H54" i="1"/>
  <c r="H52" i="1" s="1"/>
  <c r="I54" i="1"/>
  <c r="I52" i="1" s="1"/>
  <c r="J54" i="1"/>
  <c r="J52" i="1" s="1"/>
  <c r="K54" i="1"/>
  <c r="K52" i="1" s="1"/>
  <c r="P54" i="1"/>
  <c r="P52" i="1" s="1"/>
  <c r="Q54" i="1"/>
  <c r="Q52" i="1" s="1"/>
  <c r="R54" i="1"/>
  <c r="R52" i="1" s="1"/>
  <c r="S54" i="1"/>
  <c r="S52" i="1" s="1"/>
  <c r="X54" i="1"/>
  <c r="AB54" i="1" s="1"/>
  <c r="Y54" i="1"/>
  <c r="AG54" i="1" s="1"/>
  <c r="Z54" i="1"/>
  <c r="Z52" i="1" s="1"/>
  <c r="AH52" i="1" s="1"/>
  <c r="AA54" i="1"/>
  <c r="AA52" i="1" s="1"/>
  <c r="AI52" i="1" s="1"/>
  <c r="AA57" i="1"/>
  <c r="AI57" i="1" s="1"/>
  <c r="H59" i="1"/>
  <c r="H57" i="1" s="1"/>
  <c r="L57" i="1" s="1"/>
  <c r="I59" i="1"/>
  <c r="I57" i="1" s="1"/>
  <c r="J59" i="1"/>
  <c r="J57" i="1" s="1"/>
  <c r="K59" i="1"/>
  <c r="K57" i="1" s="1"/>
  <c r="P59" i="1"/>
  <c r="T59" i="1" s="1"/>
  <c r="Q59" i="1"/>
  <c r="Q57" i="1" s="1"/>
  <c r="R59" i="1"/>
  <c r="R57" i="1" s="1"/>
  <c r="S59" i="1"/>
  <c r="S57" i="1" s="1"/>
  <c r="X59" i="1"/>
  <c r="AF59" i="1" s="1"/>
  <c r="Y59" i="1"/>
  <c r="Y57" i="1" s="1"/>
  <c r="AG57" i="1" s="1"/>
  <c r="Z59" i="1"/>
  <c r="AH59" i="1" s="1"/>
  <c r="AA59" i="1"/>
  <c r="AI59" i="1" s="1"/>
  <c r="H62" i="1"/>
  <c r="H61" i="1" s="1"/>
  <c r="L61" i="1" s="1"/>
  <c r="I62" i="1"/>
  <c r="I61" i="1" s="1"/>
  <c r="J62" i="1"/>
  <c r="J61" i="1" s="1"/>
  <c r="K62" i="1"/>
  <c r="K61" i="1" s="1"/>
  <c r="P62" i="1"/>
  <c r="P61" i="1" s="1"/>
  <c r="Q62" i="1"/>
  <c r="Q61" i="1" s="1"/>
  <c r="R62" i="1"/>
  <c r="R61" i="1" s="1"/>
  <c r="S62" i="1"/>
  <c r="S61" i="1" s="1"/>
  <c r="X62" i="1"/>
  <c r="AB62" i="1" s="1"/>
  <c r="Y62" i="1"/>
  <c r="AG62" i="1" s="1"/>
  <c r="Z62" i="1"/>
  <c r="AH62" i="1" s="1"/>
  <c r="AA62" i="1"/>
  <c r="AI62" i="1" s="1"/>
  <c r="H64" i="1"/>
  <c r="L64" i="1" s="1"/>
  <c r="I64" i="1"/>
  <c r="J64" i="1"/>
  <c r="K64" i="1"/>
  <c r="P64" i="1"/>
  <c r="T64" i="1" s="1"/>
  <c r="Q64" i="1"/>
  <c r="R64" i="1"/>
  <c r="S64" i="1"/>
  <c r="X64" i="1"/>
  <c r="AB64" i="1" s="1"/>
  <c r="Y64" i="1"/>
  <c r="AG64" i="1" s="1"/>
  <c r="Z64" i="1"/>
  <c r="AH64" i="1" s="1"/>
  <c r="AA64" i="1"/>
  <c r="AI64" i="1" s="1"/>
  <c r="Q69" i="1"/>
  <c r="Q68" i="1" s="1"/>
  <c r="H70" i="1"/>
  <c r="H69" i="1" s="1"/>
  <c r="I70" i="1"/>
  <c r="I69" i="1" s="1"/>
  <c r="I68" i="1" s="1"/>
  <c r="J70" i="1"/>
  <c r="J69" i="1" s="1"/>
  <c r="J68" i="1" s="1"/>
  <c r="K70" i="1"/>
  <c r="K69" i="1" s="1"/>
  <c r="K68" i="1" s="1"/>
  <c r="P70" i="1"/>
  <c r="T70" i="1" s="1"/>
  <c r="Q70" i="1"/>
  <c r="R70" i="1"/>
  <c r="R69" i="1" s="1"/>
  <c r="R68" i="1" s="1"/>
  <c r="S70" i="1"/>
  <c r="S69" i="1" s="1"/>
  <c r="S68" i="1" s="1"/>
  <c r="X70" i="1"/>
  <c r="AF70" i="1" s="1"/>
  <c r="Y70" i="1"/>
  <c r="Y69" i="1" s="1"/>
  <c r="Z70" i="1"/>
  <c r="AH70" i="1" s="1"/>
  <c r="AA70" i="1"/>
  <c r="AA69" i="1" s="1"/>
  <c r="H72" i="1"/>
  <c r="I72" i="1"/>
  <c r="J72" i="1"/>
  <c r="K72" i="1"/>
  <c r="P72" i="1"/>
  <c r="T72" i="1" s="1"/>
  <c r="Q72" i="1"/>
  <c r="R72" i="1"/>
  <c r="S72" i="1"/>
  <c r="X72" i="1"/>
  <c r="AF72" i="1" s="1"/>
  <c r="Y72" i="1"/>
  <c r="Z72" i="1"/>
  <c r="AH72" i="1" s="1"/>
  <c r="AA72" i="1"/>
  <c r="AI72" i="1" s="1"/>
  <c r="H76" i="1"/>
  <c r="L76" i="1" s="1"/>
  <c r="I76" i="1"/>
  <c r="J76" i="1"/>
  <c r="K76" i="1"/>
  <c r="P76" i="1"/>
  <c r="T76" i="1" s="1"/>
  <c r="Q76" i="1"/>
  <c r="R76" i="1"/>
  <c r="S76" i="1"/>
  <c r="X76" i="1"/>
  <c r="AB76" i="1" s="1"/>
  <c r="Y76" i="1"/>
  <c r="AG76" i="1" s="1"/>
  <c r="Z76" i="1"/>
  <c r="AH76" i="1" s="1"/>
  <c r="AA76" i="1"/>
  <c r="AI76" i="1" s="1"/>
  <c r="H79" i="1"/>
  <c r="L79" i="1" s="1"/>
  <c r="I79" i="1"/>
  <c r="J79" i="1"/>
  <c r="K79" i="1"/>
  <c r="P79" i="1"/>
  <c r="T79" i="1" s="1"/>
  <c r="Q79" i="1"/>
  <c r="R79" i="1"/>
  <c r="S79" i="1"/>
  <c r="X79" i="1"/>
  <c r="AF79" i="1" s="1"/>
  <c r="Y79" i="1"/>
  <c r="AG79" i="1" s="1"/>
  <c r="Z79" i="1"/>
  <c r="AH79" i="1" s="1"/>
  <c r="AA79" i="1"/>
  <c r="AI79" i="1" s="1"/>
  <c r="Q81" i="1"/>
  <c r="H82" i="1"/>
  <c r="H81" i="1" s="1"/>
  <c r="I82" i="1"/>
  <c r="I81" i="1" s="1"/>
  <c r="J82" i="1"/>
  <c r="J81" i="1" s="1"/>
  <c r="K82" i="1"/>
  <c r="K81" i="1" s="1"/>
  <c r="P82" i="1"/>
  <c r="T82" i="1" s="1"/>
  <c r="Q82" i="1"/>
  <c r="R82" i="1"/>
  <c r="R81" i="1" s="1"/>
  <c r="S82" i="1"/>
  <c r="S81" i="1" s="1"/>
  <c r="X82" i="1"/>
  <c r="AF82" i="1" s="1"/>
  <c r="Y82" i="1"/>
  <c r="Y81" i="1" s="1"/>
  <c r="AG81" i="1" s="1"/>
  <c r="Z82" i="1"/>
  <c r="AH82" i="1" s="1"/>
  <c r="AA82" i="1"/>
  <c r="AI82" i="1" s="1"/>
  <c r="H86" i="1"/>
  <c r="H85" i="1" s="1"/>
  <c r="I86" i="1"/>
  <c r="I85" i="1" s="1"/>
  <c r="J86" i="1"/>
  <c r="J85" i="1" s="1"/>
  <c r="K86" i="1"/>
  <c r="K85" i="1" s="1"/>
  <c r="P86" i="1"/>
  <c r="P85" i="1" s="1"/>
  <c r="Q86" i="1"/>
  <c r="Q85" i="1" s="1"/>
  <c r="R86" i="1"/>
  <c r="R85" i="1" s="1"/>
  <c r="S86" i="1"/>
  <c r="S85" i="1" s="1"/>
  <c r="X86" i="1"/>
  <c r="AB86" i="1" s="1"/>
  <c r="Y86" i="1"/>
  <c r="AG86" i="1" s="1"/>
  <c r="Z86" i="1"/>
  <c r="AH86" i="1" s="1"/>
  <c r="AA86" i="1"/>
  <c r="AA85" i="1" s="1"/>
  <c r="H96" i="1"/>
  <c r="I96" i="1"/>
  <c r="J96" i="1"/>
  <c r="K96" i="1"/>
  <c r="P96" i="1"/>
  <c r="T96" i="1" s="1"/>
  <c r="Q96" i="1"/>
  <c r="R96" i="1"/>
  <c r="S96" i="1"/>
  <c r="X96" i="1"/>
  <c r="AF96" i="1" s="1"/>
  <c r="Y96" i="1"/>
  <c r="Z96" i="1"/>
  <c r="AH96" i="1" s="1"/>
  <c r="AA96" i="1"/>
  <c r="AI96" i="1" s="1"/>
  <c r="AA98" i="1"/>
  <c r="H99" i="1"/>
  <c r="H98" i="1" s="1"/>
  <c r="I99" i="1"/>
  <c r="I98" i="1" s="1"/>
  <c r="J99" i="1"/>
  <c r="J98" i="1" s="1"/>
  <c r="K99" i="1"/>
  <c r="K98" i="1" s="1"/>
  <c r="P99" i="1"/>
  <c r="P98" i="1" s="1"/>
  <c r="Q99" i="1"/>
  <c r="Q98" i="1" s="1"/>
  <c r="R99" i="1"/>
  <c r="R98" i="1" s="1"/>
  <c r="S99" i="1"/>
  <c r="S98" i="1" s="1"/>
  <c r="X99" i="1"/>
  <c r="AB99" i="1" s="1"/>
  <c r="Y99" i="1"/>
  <c r="Y98" i="1" s="1"/>
  <c r="AG98" i="1" s="1"/>
  <c r="Z99" i="1"/>
  <c r="AH99" i="1" s="1"/>
  <c r="AA99" i="1"/>
  <c r="AI99" i="1" s="1"/>
  <c r="Q103" i="1"/>
  <c r="H104" i="1"/>
  <c r="H103" i="1" s="1"/>
  <c r="I104" i="1"/>
  <c r="I103" i="1" s="1"/>
  <c r="J104" i="1"/>
  <c r="J103" i="1" s="1"/>
  <c r="K104" i="1"/>
  <c r="K103" i="1" s="1"/>
  <c r="P104" i="1"/>
  <c r="T104" i="1" s="1"/>
  <c r="Q104" i="1"/>
  <c r="R104" i="1"/>
  <c r="R103" i="1" s="1"/>
  <c r="S104" i="1"/>
  <c r="S103" i="1" s="1"/>
  <c r="X104" i="1"/>
  <c r="AF104" i="1" s="1"/>
  <c r="Y104" i="1"/>
  <c r="Y103" i="1" s="1"/>
  <c r="AG103" i="1" s="1"/>
  <c r="Z104" i="1"/>
  <c r="AH104" i="1" s="1"/>
  <c r="AA104" i="1"/>
  <c r="AA103" i="1" s="1"/>
  <c r="H109" i="1"/>
  <c r="L109" i="1" s="1"/>
  <c r="I109" i="1"/>
  <c r="J109" i="1"/>
  <c r="K109" i="1"/>
  <c r="P109" i="1"/>
  <c r="T109" i="1" s="1"/>
  <c r="Q109" i="1"/>
  <c r="R109" i="1"/>
  <c r="S109" i="1"/>
  <c r="X109" i="1"/>
  <c r="AB109" i="1" s="1"/>
  <c r="Y109" i="1"/>
  <c r="AG109" i="1" s="1"/>
  <c r="Z109" i="1"/>
  <c r="AH109" i="1" s="1"/>
  <c r="AA109" i="1"/>
  <c r="AI109" i="1" s="1"/>
  <c r="H111" i="1"/>
  <c r="L111" i="1" s="1"/>
  <c r="I111" i="1"/>
  <c r="J111" i="1"/>
  <c r="K111" i="1"/>
  <c r="P111" i="1"/>
  <c r="T111" i="1" s="1"/>
  <c r="Q111" i="1"/>
  <c r="R111" i="1"/>
  <c r="S111" i="1"/>
  <c r="X111" i="1"/>
  <c r="AB111" i="1" s="1"/>
  <c r="Y111" i="1"/>
  <c r="AG111" i="1" s="1"/>
  <c r="Z111" i="1"/>
  <c r="AH111" i="1" s="1"/>
  <c r="AA111" i="1"/>
  <c r="AI111" i="1" s="1"/>
  <c r="H114" i="1"/>
  <c r="L114" i="1" s="1"/>
  <c r="I114" i="1"/>
  <c r="J114" i="1"/>
  <c r="K114" i="1"/>
  <c r="P114" i="1"/>
  <c r="Q114" i="1"/>
  <c r="R114" i="1"/>
  <c r="S114" i="1"/>
  <c r="X114" i="1"/>
  <c r="AB114" i="1" s="1"/>
  <c r="Y114" i="1"/>
  <c r="AG114" i="1" s="1"/>
  <c r="Z114" i="1"/>
  <c r="AA114" i="1"/>
  <c r="AI114" i="1" s="1"/>
  <c r="H117" i="1"/>
  <c r="L117" i="1" s="1"/>
  <c r="I117" i="1"/>
  <c r="J117" i="1"/>
  <c r="K117" i="1"/>
  <c r="P117" i="1"/>
  <c r="T117" i="1" s="1"/>
  <c r="Q117" i="1"/>
  <c r="R117" i="1"/>
  <c r="S117" i="1"/>
  <c r="X117" i="1"/>
  <c r="AF117" i="1" s="1"/>
  <c r="AJ117" i="1" s="1"/>
  <c r="Y117" i="1"/>
  <c r="AG117" i="1" s="1"/>
  <c r="Z117" i="1"/>
  <c r="AH117" i="1" s="1"/>
  <c r="AA117" i="1"/>
  <c r="AI117" i="1" s="1"/>
  <c r="H120" i="1"/>
  <c r="I120" i="1"/>
  <c r="J120" i="1"/>
  <c r="K120" i="1"/>
  <c r="P120" i="1"/>
  <c r="T120" i="1" s="1"/>
  <c r="Q120" i="1"/>
  <c r="R120" i="1"/>
  <c r="S120" i="1"/>
  <c r="X120" i="1"/>
  <c r="AF120" i="1" s="1"/>
  <c r="AJ120" i="1" s="1"/>
  <c r="Y120" i="1"/>
  <c r="Z120" i="1"/>
  <c r="AH120" i="1" s="1"/>
  <c r="AA120" i="1"/>
  <c r="AI120" i="1" s="1"/>
  <c r="H123" i="1"/>
  <c r="L123" i="1" s="1"/>
  <c r="I123" i="1"/>
  <c r="J123" i="1"/>
  <c r="K123" i="1"/>
  <c r="P123" i="1"/>
  <c r="T123" i="1" s="1"/>
  <c r="Q123" i="1"/>
  <c r="R123" i="1"/>
  <c r="S123" i="1"/>
  <c r="X123" i="1"/>
  <c r="AB123" i="1" s="1"/>
  <c r="Y123" i="1"/>
  <c r="AG123" i="1" s="1"/>
  <c r="Z123" i="1"/>
  <c r="AH123" i="1" s="1"/>
  <c r="AA123" i="1"/>
  <c r="AI123" i="1" s="1"/>
  <c r="L1" i="1"/>
  <c r="T1" i="1"/>
  <c r="AB1" i="1"/>
  <c r="AD1" i="1"/>
  <c r="AE1" i="1"/>
  <c r="AF1" i="1"/>
  <c r="AG1" i="1"/>
  <c r="AH1" i="1"/>
  <c r="AI1" i="1"/>
  <c r="AJ1" i="1"/>
  <c r="AA68" i="1" l="1"/>
  <c r="AI68" i="1" s="1"/>
  <c r="AI69" i="1"/>
  <c r="L45" i="1"/>
  <c r="L38" i="1"/>
  <c r="L25" i="1"/>
  <c r="H13" i="1"/>
  <c r="L14" i="1"/>
  <c r="AJ82" i="1"/>
  <c r="R84" i="1"/>
  <c r="AJ59" i="1"/>
  <c r="AJ79" i="1"/>
  <c r="AJ48" i="1"/>
  <c r="AJ43" i="1"/>
  <c r="AJ32" i="1"/>
  <c r="AJ22" i="1"/>
  <c r="AJ96" i="1"/>
  <c r="AJ70" i="1"/>
  <c r="T85" i="1"/>
  <c r="S13" i="1"/>
  <c r="S126" i="1" s="1"/>
  <c r="AJ72" i="1"/>
  <c r="T98" i="1"/>
  <c r="R13" i="1"/>
  <c r="L52" i="1"/>
  <c r="L103" i="1"/>
  <c r="Q13" i="1"/>
  <c r="Q84" i="1"/>
  <c r="J84" i="1"/>
  <c r="T61" i="1"/>
  <c r="AI103" i="1"/>
  <c r="L98" i="1"/>
  <c r="I84" i="1"/>
  <c r="I126" i="1" s="1"/>
  <c r="T52" i="1"/>
  <c r="T38" i="1"/>
  <c r="T25" i="1"/>
  <c r="T14" i="1"/>
  <c r="S84" i="1"/>
  <c r="AI98" i="1"/>
  <c r="L85" i="1"/>
  <c r="H84" i="1"/>
  <c r="L81" i="1"/>
  <c r="K13" i="1"/>
  <c r="K126" i="1" s="1"/>
  <c r="AJ114" i="1"/>
  <c r="Y68" i="1"/>
  <c r="AG68" i="1" s="1"/>
  <c r="AG69" i="1"/>
  <c r="K84" i="1"/>
  <c r="AI85" i="1"/>
  <c r="AA84" i="1"/>
  <c r="H68" i="1"/>
  <c r="L68" i="1" s="1"/>
  <c r="L69" i="1"/>
  <c r="J13" i="1"/>
  <c r="J126" i="1" s="1"/>
  <c r="AJ54" i="1"/>
  <c r="AA61" i="1"/>
  <c r="AI61" i="1" s="1"/>
  <c r="AA25" i="1"/>
  <c r="AI25" i="1" s="1"/>
  <c r="AB120" i="1"/>
  <c r="AB48" i="1"/>
  <c r="Z103" i="1"/>
  <c r="AH103" i="1" s="1"/>
  <c r="Z98" i="1"/>
  <c r="AH98" i="1" s="1"/>
  <c r="Z85" i="1"/>
  <c r="Z81" i="1"/>
  <c r="AH81" i="1" s="1"/>
  <c r="Z69" i="1"/>
  <c r="Z61" i="1"/>
  <c r="AH61" i="1" s="1"/>
  <c r="Z57" i="1"/>
  <c r="AH57" i="1" s="1"/>
  <c r="Z45" i="1"/>
  <c r="AH45" i="1" s="1"/>
  <c r="Z38" i="1"/>
  <c r="AH38" i="1" s="1"/>
  <c r="Z25" i="1"/>
  <c r="AH25" i="1" s="1"/>
  <c r="Z14" i="1"/>
  <c r="AF41" i="1"/>
  <c r="AJ41" i="1" s="1"/>
  <c r="AF29" i="1"/>
  <c r="AJ29" i="1" s="1"/>
  <c r="AF17" i="1"/>
  <c r="AJ17" i="1" s="1"/>
  <c r="AG59" i="1"/>
  <c r="AB59" i="1"/>
  <c r="L59" i="1"/>
  <c r="AA81" i="1"/>
  <c r="AI81" i="1" s="1"/>
  <c r="AI36" i="1"/>
  <c r="AJ36" i="1" s="1"/>
  <c r="AB96" i="1"/>
  <c r="Y61" i="1"/>
  <c r="AG61" i="1" s="1"/>
  <c r="Y52" i="1"/>
  <c r="AG52" i="1" s="1"/>
  <c r="Y45" i="1"/>
  <c r="AG45" i="1" s="1"/>
  <c r="Y38" i="1"/>
  <c r="AG38" i="1" s="1"/>
  <c r="Y25" i="1"/>
  <c r="AG25" i="1" s="1"/>
  <c r="Y14" i="1"/>
  <c r="AF76" i="1"/>
  <c r="AJ76" i="1" s="1"/>
  <c r="AF64" i="1"/>
  <c r="AJ64" i="1" s="1"/>
  <c r="AG82" i="1"/>
  <c r="AG70" i="1"/>
  <c r="AI70" i="1"/>
  <c r="AI46" i="1"/>
  <c r="AJ46" i="1" s="1"/>
  <c r="AB82" i="1"/>
  <c r="AB70" i="1"/>
  <c r="AB46" i="1"/>
  <c r="AB22" i="1"/>
  <c r="L82" i="1"/>
  <c r="L70" i="1"/>
  <c r="L46" i="1"/>
  <c r="X103" i="1"/>
  <c r="X98" i="1"/>
  <c r="X85" i="1"/>
  <c r="X81" i="1"/>
  <c r="X69" i="1"/>
  <c r="X61" i="1"/>
  <c r="X57" i="1"/>
  <c r="X52" i="1"/>
  <c r="X45" i="1"/>
  <c r="X38" i="1"/>
  <c r="X25" i="1"/>
  <c r="X14" i="1"/>
  <c r="AF123" i="1"/>
  <c r="AJ123" i="1" s="1"/>
  <c r="AF111" i="1"/>
  <c r="AJ111" i="1" s="1"/>
  <c r="AF99" i="1"/>
  <c r="AJ99" i="1" s="1"/>
  <c r="AF39" i="1"/>
  <c r="AJ39" i="1" s="1"/>
  <c r="AF15" i="1"/>
  <c r="AJ15" i="1" s="1"/>
  <c r="AB117" i="1"/>
  <c r="T99" i="1"/>
  <c r="T39" i="1"/>
  <c r="T15" i="1"/>
  <c r="AF86" i="1"/>
  <c r="AF62" i="1"/>
  <c r="AJ62" i="1" s="1"/>
  <c r="AF50" i="1"/>
  <c r="AJ50" i="1" s="1"/>
  <c r="AF26" i="1"/>
  <c r="AJ26" i="1" s="1"/>
  <c r="AG104" i="1"/>
  <c r="AJ104" i="1" s="1"/>
  <c r="AI104" i="1"/>
  <c r="AB104" i="1"/>
  <c r="AB32" i="1"/>
  <c r="T86" i="1"/>
  <c r="T62" i="1"/>
  <c r="T26" i="1"/>
  <c r="L104" i="1"/>
  <c r="AF109" i="1"/>
  <c r="AJ109" i="1" s="1"/>
  <c r="AB79" i="1"/>
  <c r="AB43" i="1"/>
  <c r="AA38" i="1"/>
  <c r="AI38" i="1" s="1"/>
  <c r="AI54" i="1"/>
  <c r="L54" i="1"/>
  <c r="AA14" i="1"/>
  <c r="AB72" i="1"/>
  <c r="P103" i="1"/>
  <c r="T103" i="1" s="1"/>
  <c r="P81" i="1"/>
  <c r="T81" i="1" s="1"/>
  <c r="P69" i="1"/>
  <c r="P57" i="1"/>
  <c r="T57" i="1" s="1"/>
  <c r="P45" i="1"/>
  <c r="T45" i="1" s="1"/>
  <c r="Y85" i="1"/>
  <c r="AG99" i="1"/>
  <c r="L99" i="1"/>
  <c r="L39" i="1"/>
  <c r="L15" i="1"/>
  <c r="AI86" i="1"/>
  <c r="L86" i="1"/>
  <c r="L62" i="1"/>
  <c r="L26" i="1"/>
  <c r="AI1" i="2"/>
  <c r="C25" i="2" a="1"/>
  <c r="C23" i="2" a="1"/>
  <c r="T69" i="1" l="1"/>
  <c r="P68" i="1"/>
  <c r="T68" i="1" s="1"/>
  <c r="AH14" i="1"/>
  <c r="AB85" i="1"/>
  <c r="AF85" i="1"/>
  <c r="X84" i="1"/>
  <c r="L13" i="1"/>
  <c r="H126" i="1"/>
  <c r="L126" i="1" s="1"/>
  <c r="AF57" i="1"/>
  <c r="AJ57" i="1" s="1"/>
  <c r="AB57" i="1"/>
  <c r="AB61" i="1"/>
  <c r="AF61" i="1"/>
  <c r="AJ61" i="1" s="1"/>
  <c r="AB52" i="1"/>
  <c r="AF52" i="1"/>
  <c r="AJ52" i="1" s="1"/>
  <c r="L84" i="1"/>
  <c r="P84" i="1"/>
  <c r="T84" i="1" s="1"/>
  <c r="AI84" i="1"/>
  <c r="AB14" i="1"/>
  <c r="AF14" i="1"/>
  <c r="X13" i="1"/>
  <c r="AH85" i="1"/>
  <c r="Z84" i="1"/>
  <c r="AH84" i="1" s="1"/>
  <c r="P13" i="1"/>
  <c r="AI14" i="1"/>
  <c r="AA13" i="1"/>
  <c r="AH69" i="1"/>
  <c r="Z68" i="1"/>
  <c r="AH68" i="1" s="1"/>
  <c r="AG85" i="1"/>
  <c r="Y84" i="1"/>
  <c r="AG84" i="1" s="1"/>
  <c r="AB25" i="1"/>
  <c r="AF25" i="1"/>
  <c r="AJ25" i="1" s="1"/>
  <c r="AG14" i="1"/>
  <c r="Y13" i="1"/>
  <c r="R126" i="1"/>
  <c r="AF69" i="1"/>
  <c r="AJ69" i="1" s="1"/>
  <c r="AB69" i="1"/>
  <c r="X68" i="1"/>
  <c r="AF81" i="1"/>
  <c r="AJ81" i="1" s="1"/>
  <c r="AB81" i="1"/>
  <c r="Q126" i="1"/>
  <c r="AB38" i="1"/>
  <c r="AF38" i="1"/>
  <c r="AJ38" i="1" s="1"/>
  <c r="AB98" i="1"/>
  <c r="AF98" i="1"/>
  <c r="AJ98" i="1" s="1"/>
  <c r="AF103" i="1"/>
  <c r="AJ103" i="1" s="1"/>
  <c r="AB103" i="1"/>
  <c r="AJ86" i="1"/>
  <c r="AF45" i="1"/>
  <c r="AJ45" i="1" s="1"/>
  <c r="AB45" i="1"/>
  <c r="C25" i="2"/>
  <c r="C23" i="2"/>
  <c r="BB1" i="2"/>
  <c r="X126" i="1" l="1"/>
  <c r="AF13" i="1"/>
  <c r="AJ85" i="1"/>
  <c r="T13" i="1"/>
  <c r="P126" i="1"/>
  <c r="T126" i="1" s="1"/>
  <c r="AG13" i="1"/>
  <c r="Y126" i="1"/>
  <c r="AG126" i="1" s="1"/>
  <c r="AF84" i="1"/>
  <c r="AJ84" i="1" s="1"/>
  <c r="AB84" i="1"/>
  <c r="AI13" i="1"/>
  <c r="AA126" i="1"/>
  <c r="AI126" i="1" s="1"/>
  <c r="AJ14" i="1"/>
  <c r="Z13" i="1"/>
  <c r="AF68" i="1"/>
  <c r="AJ68" i="1" s="1"/>
  <c r="AB68" i="1"/>
  <c r="AM1" i="2"/>
  <c r="AL1" i="2"/>
  <c r="AK1" i="2"/>
  <c r="AH1" i="2"/>
  <c r="AJ1" i="2"/>
  <c r="AF1" i="2"/>
  <c r="C20" i="2" a="1"/>
  <c r="Z126" i="1" l="1"/>
  <c r="AH126" i="1" s="1"/>
  <c r="AH13" i="1"/>
  <c r="AJ13" i="1" s="1"/>
  <c r="AB126" i="1"/>
  <c r="AF126" i="1"/>
  <c r="AJ126" i="1" s="1"/>
  <c r="AB13" i="1"/>
  <c r="AN1" i="2"/>
  <c r="C20" i="2"/>
  <c r="X1" i="2"/>
  <c r="P1" i="2" l="1"/>
  <c r="C26" i="2" a="1"/>
  <c r="C26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<sst xmlns="http://schemas.openxmlformats.org/spreadsheetml/2006/main" count="978" uniqueCount="744">
  <si>
    <t>Name</t>
  </si>
  <si>
    <t>Value</t>
  </si>
  <si>
    <t>Description</t>
  </si>
  <si>
    <t>API_Link</t>
  </si>
  <si>
    <t>Site for calling frappe webservice API</t>
  </si>
  <si>
    <t>API_TerpApp</t>
  </si>
  <si>
    <t>App name for frappe webservice API</t>
  </si>
  <si>
    <t>SelectedProject</t>
  </si>
  <si>
    <t>SelectedCostBreakdown</t>
  </si>
  <si>
    <t>Selected project</t>
  </si>
  <si>
    <t>Selected cost breakdown</t>
  </si>
  <si>
    <t>CONTROL PANEL</t>
  </si>
  <si>
    <t>SelectedProjectDesc</t>
  </si>
  <si>
    <t>SelectedCostBreakdownDesc</t>
  </si>
  <si>
    <t>ITEM NO.</t>
  </si>
  <si>
    <t>WORK DESCRIPTION</t>
  </si>
  <si>
    <t>BUDGETARY QUANTITY</t>
  </si>
  <si>
    <t>UOM</t>
  </si>
  <si>
    <t>MATERIAL COST</t>
  </si>
  <si>
    <t>LABOR COST</t>
  </si>
  <si>
    <t>EQUIPMENT COST</t>
  </si>
  <si>
    <t>OTHER COST</t>
  </si>
  <si>
    <t>BUDGETARY TOTAL COST</t>
  </si>
  <si>
    <t>BUDGETARY UNIT COST</t>
  </si>
  <si>
    <t>RowFieldRange</t>
  </si>
  <si>
    <t>Selected project description</t>
  </si>
  <si>
    <t>Selected cost breakdown description</t>
  </si>
  <si>
    <t>name,item_id,description</t>
  </si>
  <si>
    <t>RowFields</t>
  </si>
  <si>
    <t>BUDGETARY AT 0.00% ACCOMPLISHMENT ( A )</t>
  </si>
  <si>
    <t>uom,budgetary_cost</t>
  </si>
  <si>
    <t>material_cost,budgetary_cost</t>
  </si>
  <si>
    <t>labor_cost,budgetary_cost</t>
  </si>
  <si>
    <t>equipment_cost,budgetary_cost</t>
  </si>
  <si>
    <t>other_cost,budgetary_cost</t>
  </si>
  <si>
    <t>total_cost,budgetary_cost</t>
  </si>
  <si>
    <t>IsDataChanged</t>
  </si>
  <si>
    <t>quantity,budgetary_cost</t>
  </si>
  <si>
    <t>Data</t>
  </si>
  <si>
    <t>FORMATTING TABLE</t>
  </si>
  <si>
    <t>Headers</t>
  </si>
  <si>
    <t>Format</t>
  </si>
  <si>
    <t>ABC123</t>
  </si>
  <si>
    <t>Row, end</t>
  </si>
  <si>
    <t>Column, &lt;total_cost&gt;</t>
  </si>
  <si>
    <t>Row, [is_group=1]</t>
  </si>
  <si>
    <t>r-format</t>
  </si>
  <si>
    <t>Column, &lt;r-format&gt;</t>
  </si>
  <si>
    <t>SourceHeaders</t>
  </si>
  <si>
    <t>ColumnFieldsSource</t>
  </si>
  <si>
    <t>TotalFormulaSource</t>
  </si>
  <si>
    <t>Row, &lt;!GRAND TOTAL!&gt;</t>
  </si>
  <si>
    <t>XYZ1234</t>
  </si>
  <si>
    <t>quantity,allocation_cost</t>
  </si>
  <si>
    <t>uom,allocation_cost</t>
  </si>
  <si>
    <t>material_cost,allocation_cost</t>
  </si>
  <si>
    <t>labor_cost,allocation_cost</t>
  </si>
  <si>
    <t>equipment_cost,allocation_cost</t>
  </si>
  <si>
    <t>other_cost,allocation_cost</t>
  </si>
  <si>
    <t>total_cost,allocation_cost</t>
  </si>
  <si>
    <t>COST TO DATE (B)</t>
  </si>
  <si>
    <t>ACTUAL UNIT COST</t>
  </si>
  <si>
    <t>ACTUAL QUANTITY</t>
  </si>
  <si>
    <t>TOTAL ACTUAL EXPENSES</t>
  </si>
  <si>
    <t>If True, the empty rows are removed</t>
  </si>
  <si>
    <t>EnableRowSuppression</t>
  </si>
  <si>
    <t>EnableRowGrouping</t>
  </si>
  <si>
    <t>If True, group the rows based on lowest indent</t>
  </si>
  <si>
    <t>!ALL</t>
  </si>
  <si>
    <t>[ALL]</t>
  </si>
  <si>
    <t>COST TO COMPLETE (C)</t>
  </si>
  <si>
    <t>CTC QUANTITY</t>
  </si>
  <si>
    <t>CTC AMOUNT</t>
  </si>
  <si>
    <t>REMARKS</t>
  </si>
  <si>
    <t>E3</t>
  </si>
  <si>
    <t>Column field range start cell reference from CTC Template</t>
  </si>
  <si>
    <t>ColumnFieldStartRange</t>
  </si>
  <si>
    <t>quantity,cost_to_complete</t>
  </si>
  <si>
    <t>uom,cost_to_complete</t>
  </si>
  <si>
    <t>material_cost,cost_to_complete</t>
  </si>
  <si>
    <t>labor_cost,cost_to_complete</t>
  </si>
  <si>
    <t>equipment_cost,cost_to_complete</t>
  </si>
  <si>
    <t>other_cost,cost_to_complete</t>
  </si>
  <si>
    <t>total_cost,cost_to_complete</t>
  </si>
  <si>
    <t>remarks</t>
  </si>
  <si>
    <t>COST STATUS REPORT ( D = B + C )</t>
  </si>
  <si>
    <t>TOTAL CSR AMOUNT</t>
  </si>
  <si>
    <t>quantity,cost_status</t>
  </si>
  <si>
    <t>uom,cost_status</t>
  </si>
  <si>
    <t>material_cost,cost_status</t>
  </si>
  <si>
    <t>labor_cost,cost_status</t>
  </si>
  <si>
    <t>equipment_cost,cost_status</t>
  </si>
  <si>
    <t>other_cost,cost_status</t>
  </si>
  <si>
    <t>total_cost,cost_status</t>
  </si>
  <si>
    <t>CSR QUANTITY</t>
  </si>
  <si>
    <t>Row, [is_supplier_breakdown=1]</t>
  </si>
  <si>
    <t>EnableFreezePane</t>
  </si>
  <si>
    <t>If True, set the freeze pane</t>
  </si>
  <si>
    <t>Key</t>
  </si>
  <si>
    <t>REMARKS TABLE  *do not add anything below this area</t>
  </si>
  <si>
    <t>ColumnAOnly</t>
  </si>
  <si>
    <t>LoginUser</t>
  </si>
  <si>
    <t>UpdateDate</t>
  </si>
  <si>
    <t>LoginUserName</t>
  </si>
  <si>
    <t>LoginOnOpen</t>
  </si>
  <si>
    <t>Test 01x01</t>
  </si>
  <si>
    <t>PROJ-0001|A.2.2. Performance Bond</t>
  </si>
  <si>
    <t>PROJ-0002|C. STRUCTURAL WORKS</t>
  </si>
  <si>
    <t>Test 01x03</t>
  </si>
  <si>
    <t>PROJ-0001|C. STRUCTURAL WORKS</t>
  </si>
  <si>
    <t>NAMED RANGES *white cells in value are editable</t>
  </si>
  <si>
    <t>Row field range in CTC template where the report rows are generated</t>
  </si>
  <si>
    <t>Row fields for RowFieldRange, each column is the field, must be valid fields of cost breakdown retrieved from the server</t>
  </si>
  <si>
    <t>Source column field IDs referenced in Control sheet</t>
  </si>
  <si>
    <t>Source column headers from Control sheet</t>
  </si>
  <si>
    <t>Source total formulas from Control sheet</t>
  </si>
  <si>
    <t>if True, generate report Column A only</t>
  </si>
  <si>
    <t>If True, the report will prompt login on open and closes when authentication failed, otherwise prompt login when trying to connect to server</t>
  </si>
  <si>
    <t>Login email, worked as user login</t>
  </si>
  <si>
    <t>Name of the logged user</t>
  </si>
  <si>
    <t>Last logged date/time</t>
  </si>
  <si>
    <t>PROJ-0001|C.1.1.1.1. Cement|Supplier 002</t>
  </si>
  <si>
    <t>DgOcMainFolder</t>
  </si>
  <si>
    <t>IsProjectSelectionDgOc</t>
  </si>
  <si>
    <t>Main folder used by Digital Ocean</t>
  </si>
  <si>
    <t>Project full selection used for retrieve file</t>
  </si>
  <si>
    <t>SetReadOnlyOnOpen</t>
  </si>
  <si>
    <t>Set the template mode as read only on open, used for files from Digital Ocean</t>
  </si>
  <si>
    <t>UNIT COST</t>
  </si>
  <si>
    <t>terp</t>
  </si>
  <si>
    <t>https://terpasia.xurpaslabs.com</t>
  </si>
  <si>
    <t>prod</t>
  </si>
  <si>
    <t>ramonescalona@tacc.com.ph</t>
  </si>
  <si>
    <t>ram</t>
  </si>
  <si>
    <t>A</t>
  </si>
  <si>
    <t xml:space="preserve"> A.1</t>
  </si>
  <si>
    <t>A.1.1</t>
  </si>
  <si>
    <t>A.1.1.2</t>
  </si>
  <si>
    <t>A.1.1.3</t>
  </si>
  <si>
    <t>A.1.3</t>
  </si>
  <si>
    <t xml:space="preserve"> A.2</t>
  </si>
  <si>
    <t>A.2.1</t>
  </si>
  <si>
    <t>A.2.2</t>
  </si>
  <si>
    <t>A.2.3</t>
  </si>
  <si>
    <t>A.2.4</t>
  </si>
  <si>
    <t xml:space="preserve"> A.3</t>
  </si>
  <si>
    <t>A.3.3</t>
  </si>
  <si>
    <t>A.3.4</t>
  </si>
  <si>
    <t>A.3.5</t>
  </si>
  <si>
    <t xml:space="preserve"> A.4</t>
  </si>
  <si>
    <t>A.4.1</t>
  </si>
  <si>
    <t>A.4.1.1</t>
  </si>
  <si>
    <t>A.4.1.2</t>
  </si>
  <si>
    <t>A.4.1.4</t>
  </si>
  <si>
    <t>A.4.2</t>
  </si>
  <si>
    <t>A.4.2.1</t>
  </si>
  <si>
    <t>A.4.3</t>
  </si>
  <si>
    <t>A.4.3.1</t>
  </si>
  <si>
    <t>A.4.3.2</t>
  </si>
  <si>
    <t>A.4.4</t>
  </si>
  <si>
    <t>A.4.4.1</t>
  </si>
  <si>
    <t>A.4.4.2</t>
  </si>
  <si>
    <t>A.4.4.4</t>
  </si>
  <si>
    <t>A.4.4.5</t>
  </si>
  <si>
    <t>A.4.5</t>
  </si>
  <si>
    <t>A.4.9</t>
  </si>
  <si>
    <t xml:space="preserve"> A.5</t>
  </si>
  <si>
    <t>A.5.4</t>
  </si>
  <si>
    <t>A.5.4.1</t>
  </si>
  <si>
    <t>A.5.9</t>
  </si>
  <si>
    <t xml:space="preserve"> A.6</t>
  </si>
  <si>
    <t>A.6.1</t>
  </si>
  <si>
    <t>A.6.1.1</t>
  </si>
  <si>
    <t>A.6.1.2</t>
  </si>
  <si>
    <t>A.6.1.3</t>
  </si>
  <si>
    <t>A.6.2</t>
  </si>
  <si>
    <t>A.6.2.1</t>
  </si>
  <si>
    <t>A.6.2.1.1</t>
  </si>
  <si>
    <t>A.6.2.2</t>
  </si>
  <si>
    <t>A.6.2.3</t>
  </si>
  <si>
    <t>A.6.3</t>
  </si>
  <si>
    <t>A.6.3.3</t>
  </si>
  <si>
    <t>A.6.3.4</t>
  </si>
  <si>
    <t xml:space="preserve"> A.8</t>
  </si>
  <si>
    <t>A.8.1</t>
  </si>
  <si>
    <t xml:space="preserve"> A.9</t>
  </si>
  <si>
    <t>A.9.1</t>
  </si>
  <si>
    <t>A.9.3</t>
  </si>
  <si>
    <t>A.9.3.1</t>
  </si>
  <si>
    <t>A.9.3.2</t>
  </si>
  <si>
    <t xml:space="preserve"> A.10</t>
  </si>
  <si>
    <t>A.10.1</t>
  </si>
  <si>
    <t>A.10.3</t>
  </si>
  <si>
    <t>A.10.5</t>
  </si>
  <si>
    <t>A.10.6</t>
  </si>
  <si>
    <t xml:space="preserve"> A.11</t>
  </si>
  <si>
    <t>A.11.2</t>
  </si>
  <si>
    <t>A.11.2.4</t>
  </si>
  <si>
    <t xml:space="preserve"> A.12</t>
  </si>
  <si>
    <t>A.12.1</t>
  </si>
  <si>
    <t>A.12.1.1</t>
  </si>
  <si>
    <t>A.12.1.1.1</t>
  </si>
  <si>
    <t>A.12.1.2</t>
  </si>
  <si>
    <t>A.12.1.2.1</t>
  </si>
  <si>
    <t xml:space="preserve"> A.13</t>
  </si>
  <si>
    <t>A.13.1</t>
  </si>
  <si>
    <t>A.13.2</t>
  </si>
  <si>
    <t>A.13.3</t>
  </si>
  <si>
    <t>A.13.5</t>
  </si>
  <si>
    <t>A.13.6</t>
  </si>
  <si>
    <t xml:space="preserve"> A.14</t>
  </si>
  <si>
    <t>A.14.3</t>
  </si>
  <si>
    <t xml:space="preserve"> A.15</t>
  </si>
  <si>
    <t>A.15.1</t>
  </si>
  <si>
    <t>A.15.3</t>
  </si>
  <si>
    <t>A.15.4</t>
  </si>
  <si>
    <t>A.15.5</t>
  </si>
  <si>
    <t>A.15.6</t>
  </si>
  <si>
    <t>B</t>
  </si>
  <si>
    <t>B.2</t>
  </si>
  <si>
    <t>B.2.2</t>
  </si>
  <si>
    <t>B.3</t>
  </si>
  <si>
    <t>B.3.8</t>
  </si>
  <si>
    <t>B.3.9</t>
  </si>
  <si>
    <t>B.3.10</t>
  </si>
  <si>
    <t>B.3.11</t>
  </si>
  <si>
    <t>B.3.12</t>
  </si>
  <si>
    <t>B.4</t>
  </si>
  <si>
    <t>B.4.3</t>
  </si>
  <si>
    <t>C</t>
  </si>
  <si>
    <t>C.1</t>
  </si>
  <si>
    <t>C.1.1</t>
  </si>
  <si>
    <t>C.1.1.1</t>
  </si>
  <si>
    <t>C.1.1.1.2</t>
  </si>
  <si>
    <t>C.1.1.1.3</t>
  </si>
  <si>
    <t>C.1.2</t>
  </si>
  <si>
    <t>C.1.2.16</t>
  </si>
  <si>
    <t>C.1.4</t>
  </si>
  <si>
    <t>C.1.4.1</t>
  </si>
  <si>
    <t>C.2</t>
  </si>
  <si>
    <t>C.2.1</t>
  </si>
  <si>
    <t>C.2.1.1</t>
  </si>
  <si>
    <t>C.2.1.2</t>
  </si>
  <si>
    <t>C.2.3</t>
  </si>
  <si>
    <t>C.2.3.1</t>
  </si>
  <si>
    <t>C.3</t>
  </si>
  <si>
    <t>C.3.1</t>
  </si>
  <si>
    <t>C.3.1.1</t>
  </si>
  <si>
    <t>C.3.3</t>
  </si>
  <si>
    <t>C.3.3.1</t>
  </si>
  <si>
    <t>C.3.3.2</t>
  </si>
  <si>
    <t>C.3.3.3</t>
  </si>
  <si>
    <t>C.3.4</t>
  </si>
  <si>
    <t>C.4</t>
  </si>
  <si>
    <t>C.4.1</t>
  </si>
  <si>
    <t>C.4.2</t>
  </si>
  <si>
    <t>D</t>
  </si>
  <si>
    <t>D.1</t>
  </si>
  <si>
    <t>D.1.1</t>
  </si>
  <si>
    <t>D.1.1.1</t>
  </si>
  <si>
    <t>D.1.1.5</t>
  </si>
  <si>
    <t>D.1.3</t>
  </si>
  <si>
    <t>D.2</t>
  </si>
  <si>
    <t>D.2.1</t>
  </si>
  <si>
    <t>D.2.1.1</t>
  </si>
  <si>
    <t>D.2.3</t>
  </si>
  <si>
    <t>D.5</t>
  </si>
  <si>
    <t>D.5.1</t>
  </si>
  <si>
    <t>D.5.2</t>
  </si>
  <si>
    <t>E</t>
  </si>
  <si>
    <t>E.1</t>
  </si>
  <si>
    <t>F</t>
  </si>
  <si>
    <t>F.1</t>
  </si>
  <si>
    <t>G</t>
  </si>
  <si>
    <t>G.1</t>
  </si>
  <si>
    <t>H</t>
  </si>
  <si>
    <t>H.1</t>
  </si>
  <si>
    <t xml:space="preserve">I </t>
  </si>
  <si>
    <t>I.1</t>
  </si>
  <si>
    <t>GRAND TOTAL</t>
  </si>
  <si>
    <t>A.1.1.1</t>
  </si>
  <si>
    <t>A.4.1.3</t>
  </si>
  <si>
    <t>C.3.1.13</t>
  </si>
  <si>
    <t>C.3.1.13.1</t>
  </si>
  <si>
    <t>PROJ-0002|A. GENERAL REQUIREMENTS</t>
  </si>
  <si>
    <t>PROJ-0002|A.1.  MOBILIZATION</t>
  </si>
  <si>
    <t>PROJ-0002|A.1.1. Transportation and Accomodation  (Air, Sea, Lands &amp; Hotels)</t>
  </si>
  <si>
    <t>PROJ-0002|A.1.1.1. Staff</t>
  </si>
  <si>
    <t>PROJ-0002|A.1.1.2. Admin Workers</t>
  </si>
  <si>
    <t>PROJ-0002|A.1.1.3. Consultants (Including per diem)</t>
  </si>
  <si>
    <t>PROJ-0002|A.1.3. Others (please specify)</t>
  </si>
  <si>
    <t>PROJ-0002|A.2.  BONDS &amp; INSURANCE</t>
  </si>
  <si>
    <t>PROJ-0002|A.2.1. CARI (100%)</t>
  </si>
  <si>
    <t>PROJ-0002|A.2.2. Performance Bond</t>
  </si>
  <si>
    <t>PROJ-0002|A.2.3. Surety Bond</t>
  </si>
  <si>
    <t>PROJ-0002|A.2.4. Guarantee Bond (10%)</t>
  </si>
  <si>
    <t>PROJ-0002|A.2.10. Others (please specify)</t>
  </si>
  <si>
    <t>PROJ-0002|A.3.  PERMIT &amp; LICENSES</t>
  </si>
  <si>
    <t>PROJ-0002|A.3.3. Building Permit</t>
  </si>
  <si>
    <t>PROJ-0002|A.3.4. Contractor's Tax</t>
  </si>
  <si>
    <t>PROJ-0002|A.3.5. Occupancy Permit</t>
  </si>
  <si>
    <t>PROJ-0002|A.4.  TEMPORARY FACILITIES - TACC</t>
  </si>
  <si>
    <t>PROJ-0002|A.4.1. Construction of</t>
  </si>
  <si>
    <t>PROJ-0002|A.4.1.1. On Site : Site Office</t>
  </si>
  <si>
    <t>PROJ-0002|A.4.1.2. Offsite : Manpower Barracks</t>
  </si>
  <si>
    <t>PROJ-0002|A.4.1.3. Offsite : Manpower Toilet &amp; Bath</t>
  </si>
  <si>
    <t>PROJ-0002|A.4.1.4. On Site : Temporary Fence &amp; Gate(s)</t>
  </si>
  <si>
    <t>PROJ-0002|A.4.2. Rental (off-site)</t>
  </si>
  <si>
    <t>PROJ-0002|A.4.2.1. Staff House</t>
  </si>
  <si>
    <t>PROJ-0002|A.4.3. Furniture &amp; Fixtures</t>
  </si>
  <si>
    <t>PROJ-0002|A.4.3.1. Office</t>
  </si>
  <si>
    <t>PROJ-0002|A.4.3.2. Staff House</t>
  </si>
  <si>
    <t>PROJ-0002|A.4.4. IT Equipments</t>
  </si>
  <si>
    <t>PROJ-0002|A.4.4.1. Computers, Printers, Scanner</t>
  </si>
  <si>
    <t>PROJ-0002|A.4.4.2. Biometric Devices</t>
  </si>
  <si>
    <t>PROJ-0002|A.4.4.4. CCTV (Include Monitors)</t>
  </si>
  <si>
    <t>PROJ-0002|A.4.4.5. Network Devices</t>
  </si>
  <si>
    <t>PROJ-0002|A.4.5. Office Supplies</t>
  </si>
  <si>
    <t>PROJ-0002|A.4.9. Maintenance &amp; Repair</t>
  </si>
  <si>
    <t>PROJ-0002|A.5.  TEMPORARY FACILITIES - CM</t>
  </si>
  <si>
    <t>PROJ-0002|A.5.4. IT Equipments</t>
  </si>
  <si>
    <t>PROJ-0002|A.5.4.1. Computers, Printers, Scanner</t>
  </si>
  <si>
    <t>PROJ-0002|A.5.9. PPE</t>
  </si>
  <si>
    <t>PROJ-0002|A.6.  TEMPORARY UTILITIES - TACC</t>
  </si>
  <si>
    <t>PROJ-0002|A.6.1. Electricity</t>
  </si>
  <si>
    <t>PROJ-0002|A.6.1.1. Materials</t>
  </si>
  <si>
    <t>PROJ-0002|A.6.1.2. Labor</t>
  </si>
  <si>
    <t>PROJ-0002|A.6.1.3. Monthly Dues</t>
  </si>
  <si>
    <t>PROJ-0002|A.6.2. Water</t>
  </si>
  <si>
    <t>PROJ-0002|A.6.2.1. Materials</t>
  </si>
  <si>
    <t>PROJ-0002|A.6.2.1.1. PVC/PPR Pipes</t>
  </si>
  <si>
    <t>PROJ-0002|A.6.2.2. Labor</t>
  </si>
  <si>
    <t>PROJ-0002|A.6.2.3. Monthly Dues</t>
  </si>
  <si>
    <t>PROJ-0002|A.6.3. Communication</t>
  </si>
  <si>
    <t>PROJ-0002|A.6.3.3. Monthly Dues</t>
  </si>
  <si>
    <t>PROJ-0002|A.6.3.4. Potable Water</t>
  </si>
  <si>
    <t>PROJ-0002|A.8.  SHOP DRAWINGS &amp; AS-BUILT PLANS</t>
  </si>
  <si>
    <t>PROJ-0002|A.8.1. Subcontractor</t>
  </si>
  <si>
    <t>PROJ-0002|A.9.  CONSTRUCTION HEALTH, SAFETY, ENVIRONMENT &amp; SECURITY</t>
  </si>
  <si>
    <t>PROJ-0002|A.9.1. Security</t>
  </si>
  <si>
    <t>PROJ-0002|A.9.3. Environment</t>
  </si>
  <si>
    <t>PROJ-0002|A.9.3.1. Housekeeping</t>
  </si>
  <si>
    <t>PROJ-0002|A.9.3.2. Garbage Disposal</t>
  </si>
  <si>
    <t>PROJ-0002|A.10.  MATERIAL TESTING</t>
  </si>
  <si>
    <t>PROJ-0002|A.10.1. Soil Investigation Test</t>
  </si>
  <si>
    <t>PROJ-0002|A.10.3. Concrete Test (Compression Strength Testing)</t>
  </si>
  <si>
    <t>PROJ-0002|A.10.5. Dye Penetrating Test</t>
  </si>
  <si>
    <t>PROJ-0002|A.10.6. Welding XRAY Test</t>
  </si>
  <si>
    <t>PROJ-0002|A.11.  SUPPORT EQUIPMENT</t>
  </si>
  <si>
    <t>PROJ-0002|A.11.2. Heavy Equipment (Rental)</t>
  </si>
  <si>
    <t>PROJ-0002|A.11.2.4. Boom Truck</t>
  </si>
  <si>
    <t>PROJ-0002|A.12.  SITE MANAGEMENT</t>
  </si>
  <si>
    <t>PROJ-0002|A.12.1. Site Supervision  - Support team personnel</t>
  </si>
  <si>
    <t>PROJ-0002|A.12.1.1. Staff</t>
  </si>
  <si>
    <t>PROJ-0002|A.12.1.1.1. Salary including 13th Month Pay</t>
  </si>
  <si>
    <t>PROJ-0002|A.12.1.2. Admin Workers</t>
  </si>
  <si>
    <t>PROJ-0002|A.12.1.2.1. Salary including 13th Month Pay</t>
  </si>
  <si>
    <t>PROJ-0002|A.13.  REPRESENTATION</t>
  </si>
  <si>
    <t>PROJ-0002|A.13.1. Weekly Coordination Meeting</t>
  </si>
  <si>
    <t>PROJ-0002|A.13.2. Monthly Management Meeting</t>
  </si>
  <si>
    <t>PROJ-0002|A.13.3. Marketing Expense</t>
  </si>
  <si>
    <t>PROJ-0002|A.13.5. Subcontractor</t>
  </si>
  <si>
    <t>PROJ-0002|A.13.6. Others (please specify)</t>
  </si>
  <si>
    <t>PROJ-0002|A.14. DEMOBILIZATION</t>
  </si>
  <si>
    <t>PROJ-0002|A.14.3. Others (please specify)</t>
  </si>
  <si>
    <t>PROJ-0002|A.15. OTHERS (PLEASE SPECIFY)</t>
  </si>
  <si>
    <t>PROJ-0002|A.15.1. Professional Fees - Architectural Consultant</t>
  </si>
  <si>
    <t>PROJ-0002|A.15.3. Professional Fees - Structural Consultant</t>
  </si>
  <si>
    <t>PROJ-0002|A.15.4. Professional Fees - Electrical Consultant</t>
  </si>
  <si>
    <t>PROJ-0002|A.15.5. Professional Fees - Plumbing &amp; Sanitary Consultant</t>
  </si>
  <si>
    <t>PROJ-0002|A.15.6. Professional Fees - Mechanical Consultant</t>
  </si>
  <si>
    <t>PROJ-0002|B. CIVIL WORKS and SITE DEVELOPMENT WORKS</t>
  </si>
  <si>
    <t>PROJ-0002|B.2. STAKING AND LAYOUT</t>
  </si>
  <si>
    <t>PROJ-0002|B.2.2. Subcontractor</t>
  </si>
  <si>
    <t>PROJ-0002|B.3. EARTHWORKS AND SITE GRADING</t>
  </si>
  <si>
    <t>PROJ-0002|B.3.8. Soil Poisoning</t>
  </si>
  <si>
    <t>PROJ-0002|B.3.9. Lean Concrete</t>
  </si>
  <si>
    <t>PROJ-0002|B.3.10. Gravel Bedding</t>
  </si>
  <si>
    <t>PROJ-0002|B.3.11. Vapor Barrier</t>
  </si>
  <si>
    <t>PROJ-0002|B.3.12. Subcontractor</t>
  </si>
  <si>
    <t>PROJ-0002|B.4. ROAD PREPARATION</t>
  </si>
  <si>
    <t>PROJ-0002|B.4.3. Sub Base Course (Item 200)</t>
  </si>
  <si>
    <t>PROJ-0002|C.1. CONCRETING WORKS</t>
  </si>
  <si>
    <t>PROJ-0002|C.1.1. Materials</t>
  </si>
  <si>
    <t>PROJ-0002|C.1.1.1. Ready Mix Concrete ( psi) -</t>
  </si>
  <si>
    <t>PROJ-0002|C.1.1.1.2. Batching Cost (Aggregate Portion Only)</t>
  </si>
  <si>
    <t>PROJ-0002|C.1.1.1.3. Batching Cost (All In)</t>
  </si>
  <si>
    <t>PROJ-0002|C.1.2. Tools &amp; Equipments</t>
  </si>
  <si>
    <t>PROJ-0002|C.1.2.16. Pumpcrete ( Boom Type )</t>
  </si>
  <si>
    <t>PROJ-0002|C.1.4. Subcontractor</t>
  </si>
  <si>
    <t>PROJ-0002|C.1.4.1. Area Builders</t>
  </si>
  <si>
    <t>PROJ-0002|C.2. REINFORCING STEEL BARS</t>
  </si>
  <si>
    <t>PROJ-0002|C.2.1. Materials</t>
  </si>
  <si>
    <t>PROJ-0002|C.2.1.1. Grade 40</t>
  </si>
  <si>
    <t>PROJ-0002|C.2.1.2. Grade 60</t>
  </si>
  <si>
    <t>PROJ-0002|C.2.3. Subcontractor</t>
  </si>
  <si>
    <t>PROJ-0002|C.2.3.1. MELBERT NOVAL</t>
  </si>
  <si>
    <t>PROJ-0002|C.3. FORMWORKS</t>
  </si>
  <si>
    <t>PROJ-0002|C.3.1. Materials</t>
  </si>
  <si>
    <t>PROJ-0002|C.3.1.1. Phenolic</t>
  </si>
  <si>
    <t>PROJ-0002|C.3.1.13. Painting Materials (for markings)</t>
  </si>
  <si>
    <t>PROJ-0002|C.3.1.13.1. Enamel Blue</t>
  </si>
  <si>
    <t>PROJ-0002|C.3.3. Subcontractor</t>
  </si>
  <si>
    <t>PROJ-0002|C.3.3.1. EFCO PHILS</t>
  </si>
  <si>
    <t>PROJ-0002|C.3.3.2. FWD</t>
  </si>
  <si>
    <t>PROJ-0002|C.3.3.3. AREA BUILDERS</t>
  </si>
  <si>
    <t>PROJ-0002|C.3.4. Others (Please Specify)</t>
  </si>
  <si>
    <t>PROJ-0002|C.4. STRUCTURAL STEEL WORKS</t>
  </si>
  <si>
    <t>PROJ-0002|C.4.1. Structural Steel Roof Framing Materials</t>
  </si>
  <si>
    <t>PROJ-0002|C.4.2. Subcontractor</t>
  </si>
  <si>
    <t>PROJ-0002|D. ARCHITECTURAL WORKS</t>
  </si>
  <si>
    <t>PROJ-0002|D.1. MASONRY WORKS</t>
  </si>
  <si>
    <t>PROJ-0002|D.1.1. Materials</t>
  </si>
  <si>
    <t>PROJ-0002|D.1.1.1. CHB 6"</t>
  </si>
  <si>
    <t>PROJ-0002|D.1.1.5. CHB 4"</t>
  </si>
  <si>
    <t>PROJ-0002|D.1.3. Subcontractor</t>
  </si>
  <si>
    <t>PROJ-0002|D.2. PLASTERING WORKS</t>
  </si>
  <si>
    <t>PROJ-0002|D.2.1. Materials</t>
  </si>
  <si>
    <t>PROJ-0002|D.2.1.1. Cement</t>
  </si>
  <si>
    <t>PROJ-0002|D.2.3. Subcontractor</t>
  </si>
  <si>
    <t>PROJ-0002|D.5. OTHERS (PLEASE SPECIFY)</t>
  </si>
  <si>
    <t>PROJ-0002|D.5.1. Materials</t>
  </si>
  <si>
    <t>PROJ-0002|D.5.2. Tools &amp; Equipment</t>
  </si>
  <si>
    <t>PROJ-0002|E. MECHANICAL WORKS</t>
  </si>
  <si>
    <t>PROJ-0002|E.1. MATERIALS</t>
  </si>
  <si>
    <t>PROJ-0002|F. ELECTRICAL WORKS</t>
  </si>
  <si>
    <t>PROJ-0002|F.1. MATERIALS</t>
  </si>
  <si>
    <t>PROJ-0002|G. PLUMBING &amp; SANITARY WORKS</t>
  </si>
  <si>
    <t>PROJ-0002|G.1. MATERIALS</t>
  </si>
  <si>
    <t>PROJ-0002|H. FIRE PROTECTION WORKS</t>
  </si>
  <si>
    <t>PROJ-0002|H.1. MATERIALS</t>
  </si>
  <si>
    <t>PROJ-0002|I. AUXILLIARY WORKS</t>
  </si>
  <si>
    <t>PROJ-0002|I.1. MATERIALS</t>
  </si>
  <si>
    <t>PROJ-0002|!GRAND TOTAL!</t>
  </si>
  <si>
    <t>A.4.1.5</t>
  </si>
  <si>
    <t>A.12.5</t>
  </si>
  <si>
    <t>A.14.1</t>
  </si>
  <si>
    <t>A.14.1.1</t>
  </si>
  <si>
    <t>C.2.2</t>
  </si>
  <si>
    <t>C.2.2.5</t>
  </si>
  <si>
    <t>C.3.1.10</t>
  </si>
  <si>
    <t>C.3.2</t>
  </si>
  <si>
    <t>C.3.2.8</t>
  </si>
  <si>
    <t>C.3.2.8.1</t>
  </si>
  <si>
    <t>D.1.1.3</t>
  </si>
  <si>
    <t>D.2.1.2</t>
  </si>
  <si>
    <t>F.3</t>
  </si>
  <si>
    <t>G.3</t>
  </si>
  <si>
    <t>I.3</t>
  </si>
  <si>
    <t>PROJ-0002|F.3. SUBCONTRACTOR</t>
  </si>
  <si>
    <t>PROJ-0002|G.3. SUBCONTRACTOR</t>
  </si>
  <si>
    <t>PROJ-0002|I.3. SUBCONTRACTOR</t>
  </si>
  <si>
    <t>PROJ-0002|A.4.1.5. On Site : Fabrication Areas</t>
  </si>
  <si>
    <t>PROJ-0002|A.12.5. Others (please specify)</t>
  </si>
  <si>
    <t>PROJ-0002|A.14.1. Transportation and Accomodation  (Air, Sea, Lands &amp; Hotels)</t>
  </si>
  <si>
    <t>PROJ-0002|A.14.1.1. Staff</t>
  </si>
  <si>
    <t>PROJ-0002|C.2.2. Tools &amp; Equipments</t>
  </si>
  <si>
    <t>PROJ-0002|C.2.2.5. Cut-off Blade ( 14" )</t>
  </si>
  <si>
    <t>PROJ-0002|C.3.1.10. Common Nail 2 "</t>
  </si>
  <si>
    <t>PROJ-0002|C.3.2. Tools &amp; Equipments</t>
  </si>
  <si>
    <t>PROJ-0002|C.3.2.8. Consummables</t>
  </si>
  <si>
    <t>PROJ-0002|C.3.2.8.1. Carbon Brush</t>
  </si>
  <si>
    <t>PROJ-0002|D.1.1.3. White Sand</t>
  </si>
  <si>
    <t>PROJ-0002|D.2.1.2. Sand</t>
  </si>
  <si>
    <t>Retention Bond</t>
  </si>
  <si>
    <t>A. GENERAL REQUIREMENTS</t>
  </si>
  <si>
    <t>GENERAL REQUIREMENTS</t>
  </si>
  <si>
    <t>A.1.  MOBILIZATION</t>
  </si>
  <si>
    <t xml:space="preserve">MOBILIZATION </t>
  </si>
  <si>
    <t>Others (please specify)</t>
  </si>
  <si>
    <t>A.4.  TEMPORARY FACILITIES - TACC</t>
  </si>
  <si>
    <t>TEMPORARY FACILITIES - TACC</t>
  </si>
  <si>
    <t>A.4.4. IT Equipments</t>
  </si>
  <si>
    <t>IT Equipments</t>
  </si>
  <si>
    <t>A.4.4.1. Computers, Printers, Scanner</t>
  </si>
  <si>
    <t>Computers, Printers, Scanner</t>
  </si>
  <si>
    <t>A.4.5. Office Supplies</t>
  </si>
  <si>
    <t>Office Supplies</t>
  </si>
  <si>
    <t>Potable Water</t>
  </si>
  <si>
    <t>A.6.  TEMPORARY UTILITIES - TACC</t>
  </si>
  <si>
    <t>TEMPORARY UTILITIES - TACC</t>
  </si>
  <si>
    <t>A.6.1. Electricity</t>
  </si>
  <si>
    <t>Electricity</t>
  </si>
  <si>
    <t>Materials</t>
  </si>
  <si>
    <t>A.6.2. Water</t>
  </si>
  <si>
    <t>Water</t>
  </si>
  <si>
    <t>A.6.3. Communication</t>
  </si>
  <si>
    <t>Communication</t>
  </si>
  <si>
    <t>A.8.  SHOP DRAWINGS &amp; AS-BUILT PLANS</t>
  </si>
  <si>
    <t>SHOP DRAWINGS &amp; AS-BUILT PLANS</t>
  </si>
  <si>
    <t>A.8.1. Subcontractor</t>
  </si>
  <si>
    <t>Subcontractor</t>
  </si>
  <si>
    <t>A.11.  SUPPORT EQUIPMENT</t>
  </si>
  <si>
    <t xml:space="preserve"> SUPPORT EQUIPMENT</t>
  </si>
  <si>
    <t>A.12.  SITE MANAGEMENT</t>
  </si>
  <si>
    <t xml:space="preserve"> SITE MANAGEMENT</t>
  </si>
  <si>
    <t>A.12.1. Site Supervision  - Support team personnel</t>
  </si>
  <si>
    <t>Site Supervision  - Support team personnel</t>
  </si>
  <si>
    <t>A.12.1.1. Staff</t>
  </si>
  <si>
    <t>Staff</t>
  </si>
  <si>
    <t>A.12.1.1.1. Salary including 13th Month Pay</t>
  </si>
  <si>
    <t>Salary including 13th Month Pay</t>
  </si>
  <si>
    <t>A.12.1.2. Admin Workers</t>
  </si>
  <si>
    <t>Admin Workers</t>
  </si>
  <si>
    <t>A.12.1.2.1. Salary including 13th Month Pay</t>
  </si>
  <si>
    <t>OTHERS (PLEASE SPECIFY)</t>
  </si>
  <si>
    <t>B. CIVIL WORKS and SITE DEVELOPMENT WORKS</t>
  </si>
  <si>
    <t>CIVIL WORKS and SITE DEVELOPMENT WORKS</t>
  </si>
  <si>
    <t>Others (Please Specify)</t>
  </si>
  <si>
    <t>!GRAND TOTAL!</t>
  </si>
  <si>
    <t>A.1.1. Transportation and Accomodation  (Air, Sea, Lands &amp; Hotels)</t>
  </si>
  <si>
    <t>Transportation and Accomodation  (Air, Sea, Lands &amp; Hotels)</t>
  </si>
  <si>
    <t>A.1.1.1. Staff</t>
  </si>
  <si>
    <t>A.4.2. Rental (off-site)</t>
  </si>
  <si>
    <t>Rental (off-site)</t>
  </si>
  <si>
    <t>A.4.2.1. Staff House</t>
  </si>
  <si>
    <t>Staff House</t>
  </si>
  <si>
    <t>4 units knap sack is included here</t>
  </si>
  <si>
    <t>Lott N Zaulda subcontractor</t>
  </si>
  <si>
    <t>combined all 3 contracts of FWD:
1. Formworks Material Management &amp; Supervision
2. Purchase of Aluma Clamp - Decking &amp; HEF Clamp - Column
3. Rental of Jack Head - slab</t>
  </si>
  <si>
    <t>EFCO Rental - HEF Panel</t>
  </si>
  <si>
    <t>Subcontractors:
1. Dimension All - 1,311,661.96
2. Canpas - 1,780,000.00
3. Armando Soriano - 3,642,262.85
4. Nito Galoy - 13,023,201.61</t>
  </si>
  <si>
    <t xml:space="preserve">Included here are:
1. Precast Works - 51,871,141.79
2. Ceiling Finishes - 11,830,782.70
3. Waterproofing Works - 7,703,825.65
4. Metal Works - 30,623,359.57
</t>
  </si>
  <si>
    <t>Included are:
1. Steel Doors - 5,403,029.85
2. Wooden Doors - 2,430,000.00
3. Additonal WPC &amp; Gen Req - 2,002,000</t>
  </si>
  <si>
    <t>PROJ-0015|C.1.1.2.1. Abacca Sacks</t>
  </si>
  <si>
    <t>PROJ-0015|C.2.4. Others (Please Specify)</t>
  </si>
  <si>
    <t>PROJ-0015|C.3.3.1. EFCO PHILS</t>
  </si>
  <si>
    <t>PROJ-0015|C.3.3.2. FWD</t>
  </si>
  <si>
    <t>PROJ-0015|C.3.4. Others (Please Specify)</t>
  </si>
  <si>
    <t>PROJ-0015|D.5.1. Materials</t>
  </si>
  <si>
    <t>PROJ-0015|D.5.3. Subcontractor</t>
  </si>
  <si>
    <t>Load Allowance</t>
  </si>
  <si>
    <t>As-builts</t>
  </si>
  <si>
    <t>First Aid, Safety signages &amp; PPE</t>
  </si>
  <si>
    <t>H-frame is included here</t>
  </si>
  <si>
    <t>Petty Cash</t>
  </si>
  <si>
    <t>Provisoinal Cost for styling</t>
  </si>
  <si>
    <t>inluded here are:
1. Ceiling
2. Painting
3. Carpentry
4. Deco Railing
5. Facial Mirror/Glass
6. Artwork and Others</t>
  </si>
  <si>
    <t>PROJ-0004|A.6.5. Others (please specify)</t>
  </si>
  <si>
    <t>PROJ-0004|A.8.1. Subcontractor</t>
  </si>
  <si>
    <t>PROJ-0004|A.9.1. Security</t>
  </si>
  <si>
    <t>PROJ-0004|A.11.1.9. Bar Cutter</t>
  </si>
  <si>
    <t>PROJ-0004|A.13.6. Others (please specify)</t>
  </si>
  <si>
    <t>PROJ-0004|A.15.10. Subcontractor</t>
  </si>
  <si>
    <t>PROJ-0004|D.5.1. Materials</t>
  </si>
  <si>
    <t>Unit</t>
  </si>
  <si>
    <t>Pcs</t>
  </si>
  <si>
    <t>Lot</t>
  </si>
  <si>
    <t>*</t>
  </si>
  <si>
    <t>A.11.1. Light Equipment</t>
  </si>
  <si>
    <t>A.11.1</t>
  </si>
  <si>
    <t>Light Equipment</t>
  </si>
  <si>
    <t>A.12.5. Others (please specify)</t>
  </si>
  <si>
    <t>A.4.8. Potable Water</t>
  </si>
  <si>
    <t>A.4.8</t>
  </si>
  <si>
    <t>A.9.  CONSTRUCTION HEALTH, SAFETY, ENVIRONMENT &amp; SECURITY</t>
  </si>
  <si>
    <t>CONSTRUCTION HEALTH, SAFETY, ENVIRONMENT &amp; SECURITY</t>
  </si>
  <si>
    <t>A.14. DEMOBILIZATION</t>
  </si>
  <si>
    <t>DEMOBILIZATION</t>
  </si>
  <si>
    <t>A.14.3. Others (please specify)</t>
  </si>
  <si>
    <t>A.9.1. Security</t>
  </si>
  <si>
    <t>Security</t>
  </si>
  <si>
    <t>A.9.3. Environment</t>
  </si>
  <si>
    <t>Environment</t>
  </si>
  <si>
    <t>Bags</t>
  </si>
  <si>
    <t>Gal</t>
  </si>
  <si>
    <t>PROJ-0020</t>
  </si>
  <si>
    <t>GVMC Architectural Works</t>
  </si>
  <si>
    <t>A.2.  BONDS &amp; INSURANCE</t>
  </si>
  <si>
    <t>BONDS &amp; INSURANCE</t>
  </si>
  <si>
    <t>A.2.1. CARI (100%)</t>
  </si>
  <si>
    <t>CARI (100%)</t>
  </si>
  <si>
    <t>A.2.2. Performance Bond</t>
  </si>
  <si>
    <t>Performance Bond</t>
  </si>
  <si>
    <t>A.2.3. Surety Bond</t>
  </si>
  <si>
    <t>Surety Bond</t>
  </si>
  <si>
    <t>A.2.4. Guarantee Bond (10%)</t>
  </si>
  <si>
    <t>Guarantee Bond (10%)</t>
  </si>
  <si>
    <t>A.3.  PERMIT &amp; LICENSES</t>
  </si>
  <si>
    <t>PERMIT &amp; LICENSES</t>
  </si>
  <si>
    <t>A.3.3. Building Permit</t>
  </si>
  <si>
    <t>Building Permit</t>
  </si>
  <si>
    <t>A.3.6. ECC (If charge to contractor) - Include DENR Requirements</t>
  </si>
  <si>
    <t>A.3.6</t>
  </si>
  <si>
    <t>ECC (If charge to contractor) - Include DENR Requirements</t>
  </si>
  <si>
    <t>A.4.1. Construction of</t>
  </si>
  <si>
    <t>Construction of</t>
  </si>
  <si>
    <t>A.4.1.1. On Site : Site Office</t>
  </si>
  <si>
    <t>On Site : Site Office</t>
  </si>
  <si>
    <t>A.4.1.2. Offsite : Manpower Barracks</t>
  </si>
  <si>
    <t>Offsite : Manpower Barracks</t>
  </si>
  <si>
    <t>A.4.2.2. Mancamp</t>
  </si>
  <si>
    <t>A.4.2.2</t>
  </si>
  <si>
    <t>Mancamp</t>
  </si>
  <si>
    <t>A.5.  TEMPORARY FACILITIES - CM</t>
  </si>
  <si>
    <t>TEMPORARY FACILITIES - CM</t>
  </si>
  <si>
    <t>A.5.2. Rental (off-site)</t>
  </si>
  <si>
    <t>A.5.2</t>
  </si>
  <si>
    <t>A.6.1.1. Materials</t>
  </si>
  <si>
    <t>A.6.2.2. Labor</t>
  </si>
  <si>
    <t>Labor</t>
  </si>
  <si>
    <t>A.6.3.1. Materials</t>
  </si>
  <si>
    <t>A.6.3.1</t>
  </si>
  <si>
    <t>A.7.  TEMPORARY UTILITIES - CM</t>
  </si>
  <si>
    <t xml:space="preserve"> A.7</t>
  </si>
  <si>
    <t>TEMPORARY UTILITIES - CM</t>
  </si>
  <si>
    <t>A.7.1. Electricity</t>
  </si>
  <si>
    <t>A.7.1</t>
  </si>
  <si>
    <t>A.7.1.2. Labor</t>
  </si>
  <si>
    <t>A.7.1.2</t>
  </si>
  <si>
    <t>A.7.2. Water</t>
  </si>
  <si>
    <t>A.7.2</t>
  </si>
  <si>
    <t>A.7.2.2. Labor</t>
  </si>
  <si>
    <t>A.7.2.2</t>
  </si>
  <si>
    <t>A.7.3. Communication</t>
  </si>
  <si>
    <t>A.7.3</t>
  </si>
  <si>
    <t>A.7.3.1. Materials</t>
  </si>
  <si>
    <t>A.7.3.1</t>
  </si>
  <si>
    <t>A.8.2. Others (please specify)</t>
  </si>
  <si>
    <t>A.8.2</t>
  </si>
  <si>
    <t>A.8.2.1. Issuance of FCD Plans from Designer</t>
  </si>
  <si>
    <t>A.8.2.1</t>
  </si>
  <si>
    <t>Issuance of FCD Plans from Designer</t>
  </si>
  <si>
    <t>A.8.2.2. BIM</t>
  </si>
  <si>
    <t>A.8.2.2</t>
  </si>
  <si>
    <t>BIM</t>
  </si>
  <si>
    <t>A.9.3.2. Garbage Disposal</t>
  </si>
  <si>
    <t>Garbage Disposal</t>
  </si>
  <si>
    <t>A.11.1.5. Angle Grinders</t>
  </si>
  <si>
    <t>A.11.1.5</t>
  </si>
  <si>
    <t>Angle Grinders</t>
  </si>
  <si>
    <t>A.11.2. Heavy Equipment (Rental)</t>
  </si>
  <si>
    <t>Heavy Equipment (Rental)</t>
  </si>
  <si>
    <t>A.11.2.1. Towercrane</t>
  </si>
  <si>
    <t>A.11.2.1</t>
  </si>
  <si>
    <t>Towercrane</t>
  </si>
  <si>
    <t>A.11.2.2. Personnel Hoist</t>
  </si>
  <si>
    <t>A.11.2.2</t>
  </si>
  <si>
    <t>Personnel Hoist</t>
  </si>
  <si>
    <t>A.11.4. Fuel , Parking &amp; Toll Fees</t>
  </si>
  <si>
    <t>A.11.4</t>
  </si>
  <si>
    <t>Fuel , Parking &amp; Toll Fees</t>
  </si>
  <si>
    <t>A.12.3. Team Building</t>
  </si>
  <si>
    <t>A.12.3</t>
  </si>
  <si>
    <t>Team Building</t>
  </si>
  <si>
    <t>A.13.  REPRESENTATION</t>
  </si>
  <si>
    <t xml:space="preserve"> REPRESENTATION</t>
  </si>
  <si>
    <t>A.13.1. Weekly Coordination Meeting</t>
  </si>
  <si>
    <t>Weekly Coordination Meeting</t>
  </si>
  <si>
    <t>A.13.2. Monthly Management Meeting</t>
  </si>
  <si>
    <t>Monthly Management Meeting</t>
  </si>
  <si>
    <t>B.1. DEMOLITION WORKS</t>
  </si>
  <si>
    <t>B.1</t>
  </si>
  <si>
    <t>DEMOLITION WORKS</t>
  </si>
  <si>
    <t>B.1.3. Blasting</t>
  </si>
  <si>
    <t>B.1.3</t>
  </si>
  <si>
    <t>Blasting</t>
  </si>
  <si>
    <t>D. ARCHITECTURAL WORKS</t>
  </si>
  <si>
    <t>ARCHITECTURAL WORKS</t>
  </si>
  <si>
    <t>D.1. MASONRY WORKS</t>
  </si>
  <si>
    <t>MASONRY WORKS</t>
  </si>
  <si>
    <t>D.1.1. Materials</t>
  </si>
  <si>
    <t>D.1.1.1. CHB 6"</t>
  </si>
  <si>
    <t>CHB 6"</t>
  </si>
  <si>
    <t>D.1.1.2. Cement</t>
  </si>
  <si>
    <t>D.1.1.2</t>
  </si>
  <si>
    <t>Cement</t>
  </si>
  <si>
    <t>D.1.1.3. White Sand</t>
  </si>
  <si>
    <t>White Sand</t>
  </si>
  <si>
    <t>D.1.1.4. Gravel</t>
  </si>
  <si>
    <t>D.1.1.4</t>
  </si>
  <si>
    <t>Gravel</t>
  </si>
  <si>
    <t>D.1.1.5. CHB 4"</t>
  </si>
  <si>
    <t>CHB 4"</t>
  </si>
  <si>
    <t>D.1.1.6. Phenolic Plywood</t>
  </si>
  <si>
    <t>D.1.1.6</t>
  </si>
  <si>
    <t>Phenolic Plywood</t>
  </si>
  <si>
    <t>D.1.1.7. Vibro Sand</t>
  </si>
  <si>
    <t>D.1.1.7</t>
  </si>
  <si>
    <t>Vibro Sand</t>
  </si>
  <si>
    <t>D.1.3. Subcontractor</t>
  </si>
  <si>
    <t>D.1.4. Others (Please Specify)</t>
  </si>
  <si>
    <t>D.1.4</t>
  </si>
  <si>
    <t>D.2. PLASTERING WORKS</t>
  </si>
  <si>
    <t>PLASTERING WORKS</t>
  </si>
  <si>
    <t>D.2.3. Subcontractor</t>
  </si>
  <si>
    <t>D.3. FLOOR FINISHES</t>
  </si>
  <si>
    <t>D.3</t>
  </si>
  <si>
    <t>FLOOR FINISHES</t>
  </si>
  <si>
    <t>D.3.1. Materials</t>
  </si>
  <si>
    <t>D.3.1</t>
  </si>
  <si>
    <t>D.3.1.2. Tile Adhesive</t>
  </si>
  <si>
    <t>D.3.1.2</t>
  </si>
  <si>
    <t>Tile Adhesive</t>
  </si>
  <si>
    <t>D.3.1.3. Tile Grout</t>
  </si>
  <si>
    <t>D.3.1.3</t>
  </si>
  <si>
    <t>Tile Grout</t>
  </si>
  <si>
    <t>D.3.3. Subcontractor</t>
  </si>
  <si>
    <t>D.3.3</t>
  </si>
  <si>
    <t>D.4. WALL FINISHES</t>
  </si>
  <si>
    <t>D.4</t>
  </si>
  <si>
    <t>WALL FINISHES</t>
  </si>
  <si>
    <t>D.4.1. Materials</t>
  </si>
  <si>
    <t>D.4.1</t>
  </si>
  <si>
    <t>D.4.1.2. Tile Adhesive</t>
  </si>
  <si>
    <t>D.4.1.2</t>
  </si>
  <si>
    <t>D.4.1.3. Tile Grout</t>
  </si>
  <si>
    <t>D.4.1.3</t>
  </si>
  <si>
    <t>D.4.3. Subcontractor</t>
  </si>
  <si>
    <t>D.4.3</t>
  </si>
  <si>
    <t>D.4.4. Others (Please Specify)</t>
  </si>
  <si>
    <t>D.4.4</t>
  </si>
  <si>
    <t>D.5. OTHERS (PLEASE SPECIFY)</t>
  </si>
  <si>
    <t>D.5.3. Subcontractor</t>
  </si>
  <si>
    <t>D.5.3</t>
  </si>
  <si>
    <t>E. MECHANICAL WORKS</t>
  </si>
  <si>
    <t>MECHANICAL WORKS</t>
  </si>
  <si>
    <t>E.1. MATERIALS</t>
  </si>
  <si>
    <t>MATERIALS</t>
  </si>
  <si>
    <t>E.4. OTHERS (PLEASE SPECIFY)</t>
  </si>
  <si>
    <t>E.4</t>
  </si>
  <si>
    <t>F. ELECTRICAL WORKS</t>
  </si>
  <si>
    <t>ELECTRICAL WORKS</t>
  </si>
  <si>
    <t>F.1. MATERIALS</t>
  </si>
  <si>
    <t>F.4. OTHERS (PLEASE SPECIFY)</t>
  </si>
  <si>
    <t>F.4</t>
  </si>
  <si>
    <t>G. PLUMBING &amp; SANITARY WORKS</t>
  </si>
  <si>
    <t>PLUMBING &amp; SANITARY WORKS</t>
  </si>
  <si>
    <t>G.1. MATERIALS</t>
  </si>
  <si>
    <t>G.4. OTHERS (PLEASE SPECIFY)</t>
  </si>
  <si>
    <t>G.4</t>
  </si>
  <si>
    <t>H. FIRE PROTECTION WORKS</t>
  </si>
  <si>
    <t>FIRE PROTECTION WORKS</t>
  </si>
  <si>
    <t>H.3. SUBCONTRACTOR</t>
  </si>
  <si>
    <t>H.3</t>
  </si>
  <si>
    <t>SUBCONTRACTOR</t>
  </si>
  <si>
    <t>H.4. OTHERS (PLEASE SPECIFY)</t>
  </si>
  <si>
    <t>H.4</t>
  </si>
  <si>
    <t>I. AUXILLIARY WORKS</t>
  </si>
  <si>
    <t>AUXILLIARY WORKS</t>
  </si>
  <si>
    <t>I.1. MATERIALS</t>
  </si>
  <si>
    <t>I.4. OTHERS (PLEASE SPECIFY)</t>
  </si>
  <si>
    <t>I.4</t>
  </si>
  <si>
    <t>Cubic 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</si>
</sst>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43" formatCode="_(* #,##0.00_);_(* \(#,##0.00\);_(* &quot;-&quot;??_);_(@_)"/>
    <numFmt numFmtId="164" formatCode="_-* #,##0.00_-;\(#,##0.00\)_-;_-* &quot;-&quot;??_-;_-@_-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0"/>
      <name val="Calibri"/>
      <family val="2"/>
    </font>
    <font>
      <u/>
      <sz val="11"/>
      <color theme="10"/>
      <name val="Aptos Narrow"/>
      <family val="2"/>
      <scheme val="minor"/>
    </font>
    <font>
      <b/>
      <sz val="14"/>
      <color theme="0"/>
      <name val="Calibri"/>
      <family val="2"/>
    </font>
    <font>
      <sz val="11"/>
      <color theme="1"/>
      <name val="Aptos Narrow"/>
      <family val="2"/>
      <scheme val="minor"/>
    </font>
    <font>
      <b/>
      <sz val="16"/>
      <color theme="1"/>
      <name val="Calibri"/>
      <family val="2"/>
    </font>
    <font>
      <i/>
      <sz val="14"/>
      <color theme="1"/>
      <name val="Calibri"/>
      <family val="2"/>
    </font>
    <font>
      <b/>
      <sz val="15"/>
      <color theme="1"/>
      <name val="Calibri"/>
      <family val="2"/>
    </font>
    <font>
      <b/>
      <sz val="16"/>
      <color theme="2"/>
      <name val="Calibri"/>
      <family val="2"/>
    </font>
    <font>
      <b/>
      <sz val="16"/>
      <name val="Calibri"/>
      <family val="2"/>
    </font>
    <font>
      <b/>
      <sz val="16"/>
      <color theme="2" tint="-0.749992370372631"/>
      <name val="Calibri"/>
      <family val="2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  <font>
      <b/>
      <sz val="15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476A6F"/>
        <bgColor indexed="64"/>
      </patternFill>
    </fill>
    <fill>
      <patternFill patternType="solid">
        <fgColor rgb="FF519E8A"/>
        <bgColor indexed="64"/>
      </patternFill>
    </fill>
    <fill>
      <patternFill patternType="solid">
        <fgColor rgb="FF7EB09B"/>
        <bgColor indexed="64"/>
      </patternFill>
    </fill>
    <fill>
      <patternFill patternType="solid">
        <fgColor rgb="FFC5C9A4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ECBE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000000"/>
        <bgColor rgb="FF000000"/>
      </patternFill>
    </fill>
  </fills>
  <borders count="33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medium">
        <color indexed="64"/>
      </top>
      <bottom/>
      <diagonal/>
    </border>
    <border>
      <left/>
      <right style="thick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7" fillId="0" borderId="0">
      <alignment vertical="center"/>
    </xf>
  </cellStyleXfs>
  <cellXfs count="114">
    <xf numFmtId="0" fontId="0" fillId="0" borderId="0" xfId="0"/>
    <xf numFmtId="0" fontId="2" fillId="0" borderId="0" xfId="0" applyFont="1"/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/>
    <xf numFmtId="0" fontId="4" fillId="3" borderId="0" xfId="0" applyFont="1" applyFill="1"/>
    <xf numFmtId="0" fontId="1" fillId="4" borderId="1" xfId="0" applyFont="1" applyFill="1" applyBorder="1"/>
    <xf numFmtId="0" fontId="2" fillId="5" borderId="0" xfId="0" applyFont="1" applyFill="1"/>
    <xf numFmtId="0" fontId="6" fillId="5" borderId="0" xfId="0" applyFont="1" applyFill="1"/>
    <xf numFmtId="0" fontId="2" fillId="7" borderId="0" xfId="0" applyFont="1" applyFill="1"/>
    <xf numFmtId="0" fontId="2" fillId="7" borderId="11" xfId="0" applyFont="1" applyFill="1" applyBorder="1"/>
    <xf numFmtId="0" fontId="8" fillId="7" borderId="12" xfId="2" applyFont="1" applyFill="1" applyBorder="1" applyAlignment="1">
      <alignment horizontal="center" vertical="center"/>
    </xf>
    <xf numFmtId="0" fontId="2" fillId="7" borderId="13" xfId="0" applyFont="1" applyFill="1" applyBorder="1"/>
    <xf numFmtId="0" fontId="1" fillId="4" borderId="1" xfId="0" applyFont="1" applyFill="1" applyBorder="1" applyAlignment="1">
      <alignment horizontal="left"/>
    </xf>
    <xf numFmtId="41" fontId="2" fillId="8" borderId="0" xfId="0" applyNumberFormat="1" applyFont="1" applyFill="1"/>
    <xf numFmtId="0" fontId="6" fillId="5" borderId="15" xfId="0" applyFont="1" applyFill="1" applyBorder="1"/>
    <xf numFmtId="0" fontId="2" fillId="5" borderId="16" xfId="0" applyFont="1" applyFill="1" applyBorder="1"/>
    <xf numFmtId="0" fontId="2" fillId="0" borderId="16" xfId="0" applyFont="1" applyBorder="1"/>
    <xf numFmtId="0" fontId="2" fillId="0" borderId="18" xfId="0" applyFont="1" applyBorder="1"/>
    <xf numFmtId="0" fontId="2" fillId="0" borderId="19" xfId="0" applyFont="1" applyBorder="1"/>
    <xf numFmtId="0" fontId="2" fillId="0" borderId="15" xfId="0" applyFont="1" applyBorder="1" applyAlignment="1">
      <alignment horizontal="left" indent="1"/>
    </xf>
    <xf numFmtId="0" fontId="2" fillId="0" borderId="17" xfId="0" applyFont="1" applyBorder="1" applyAlignment="1">
      <alignment horizontal="left" indent="1"/>
    </xf>
    <xf numFmtId="0" fontId="2" fillId="0" borderId="15" xfId="0" applyFont="1" applyBorder="1" applyAlignment="1">
      <alignment horizontal="left"/>
    </xf>
    <xf numFmtId="43" fontId="3" fillId="7" borderId="4" xfId="0" applyNumberFormat="1" applyFont="1" applyFill="1" applyBorder="1"/>
    <xf numFmtId="0" fontId="2" fillId="0" borderId="20" xfId="0" applyFont="1" applyBorder="1"/>
    <xf numFmtId="164" fontId="2" fillId="0" borderId="14" xfId="0" applyNumberFormat="1" applyFont="1" applyBorder="1" applyProtection="1">
      <protection locked="0"/>
    </xf>
    <xf numFmtId="164" fontId="3" fillId="4" borderId="14" xfId="0" applyNumberFormat="1" applyFont="1" applyFill="1" applyBorder="1"/>
    <xf numFmtId="164" fontId="3" fillId="8" borderId="14" xfId="0" applyNumberFormat="1" applyFont="1" applyFill="1" applyBorder="1"/>
    <xf numFmtId="0" fontId="2" fillId="7" borderId="25" xfId="0" applyFont="1" applyFill="1" applyBorder="1"/>
    <xf numFmtId="164" fontId="9" fillId="9" borderId="14" xfId="0" applyNumberFormat="1" applyFont="1" applyFill="1" applyBorder="1"/>
    <xf numFmtId="20" fontId="2" fillId="0" borderId="0" xfId="0" applyNumberFormat="1" applyFont="1"/>
    <xf numFmtId="43" fontId="2" fillId="0" borderId="14" xfId="0" applyNumberFormat="1" applyFont="1" applyBorder="1"/>
    <xf numFmtId="43" fontId="10" fillId="10" borderId="14" xfId="0" applyNumberFormat="1" applyFont="1" applyFill="1" applyBorder="1"/>
    <xf numFmtId="0" fontId="2" fillId="0" borderId="26" xfId="0" applyFont="1" applyBorder="1"/>
    <xf numFmtId="0" fontId="11" fillId="11" borderId="9" xfId="2" applyFont="1" applyFill="1" applyBorder="1" applyAlignment="1">
      <alignment horizontal="centerContinuous" vertical="center" wrapText="1"/>
    </xf>
    <xf numFmtId="0" fontId="11" fillId="11" borderId="2" xfId="2" applyFont="1" applyFill="1" applyBorder="1" applyAlignment="1">
      <alignment horizontal="centerContinuous" vertical="center" wrapText="1"/>
    </xf>
    <xf numFmtId="0" fontId="11" fillId="11" borderId="3" xfId="2" applyFont="1" applyFill="1" applyBorder="1" applyAlignment="1">
      <alignment horizontal="centerContinuous" vertical="center" wrapText="1"/>
    </xf>
    <xf numFmtId="0" fontId="11" fillId="12" borderId="9" xfId="2" applyFont="1" applyFill="1" applyBorder="1" applyAlignment="1">
      <alignment horizontal="centerContinuous" vertical="center" wrapText="1"/>
    </xf>
    <xf numFmtId="0" fontId="11" fillId="12" borderId="2" xfId="2" applyFont="1" applyFill="1" applyBorder="1" applyAlignment="1">
      <alignment horizontal="centerContinuous" vertical="center" wrapText="1"/>
    </xf>
    <xf numFmtId="0" fontId="11" fillId="12" borderId="3" xfId="2" applyFont="1" applyFill="1" applyBorder="1" applyAlignment="1">
      <alignment horizontal="centerContinuous" vertical="center" wrapText="1"/>
    </xf>
    <xf numFmtId="0" fontId="12" fillId="13" borderId="9" xfId="2" applyFont="1" applyFill="1" applyBorder="1" applyAlignment="1">
      <alignment horizontal="centerContinuous" vertical="center" wrapText="1"/>
    </xf>
    <xf numFmtId="0" fontId="12" fillId="13" borderId="2" xfId="2" applyFont="1" applyFill="1" applyBorder="1" applyAlignment="1">
      <alignment horizontal="centerContinuous" vertical="center" wrapText="1"/>
    </xf>
    <xf numFmtId="0" fontId="12" fillId="13" borderId="3" xfId="2" applyFont="1" applyFill="1" applyBorder="1" applyAlignment="1">
      <alignment horizontal="centerContinuous" vertical="center" wrapText="1"/>
    </xf>
    <xf numFmtId="0" fontId="13" fillId="14" borderId="9" xfId="2" applyFont="1" applyFill="1" applyBorder="1" applyAlignment="1">
      <alignment horizontal="centerContinuous" vertical="center" wrapText="1"/>
    </xf>
    <xf numFmtId="0" fontId="13" fillId="14" borderId="2" xfId="2" applyFont="1" applyFill="1" applyBorder="1" applyAlignment="1">
      <alignment horizontal="centerContinuous" vertical="center" wrapText="1"/>
    </xf>
    <xf numFmtId="0" fontId="13" fillId="14" borderId="3" xfId="2" applyFont="1" applyFill="1" applyBorder="1" applyAlignment="1">
      <alignment horizontal="centerContinuous" vertical="center" wrapText="1"/>
    </xf>
    <xf numFmtId="0" fontId="11" fillId="11" borderId="6" xfId="2" applyFont="1" applyFill="1" applyBorder="1" applyAlignment="1">
      <alignment horizontal="centerContinuous" vertical="center" wrapText="1"/>
    </xf>
    <xf numFmtId="0" fontId="11" fillId="11" borderId="7" xfId="2" applyFont="1" applyFill="1" applyBorder="1" applyAlignment="1">
      <alignment horizontal="centerContinuous" vertical="center" wrapText="1"/>
    </xf>
    <xf numFmtId="0" fontId="11" fillId="11" borderId="8" xfId="2" applyFont="1" applyFill="1" applyBorder="1" applyAlignment="1">
      <alignment horizontal="centerContinuous" vertical="center" wrapText="1"/>
    </xf>
    <xf numFmtId="0" fontId="11" fillId="12" borderId="6" xfId="2" applyFont="1" applyFill="1" applyBorder="1" applyAlignment="1">
      <alignment horizontal="centerContinuous" vertical="center" wrapText="1"/>
    </xf>
    <xf numFmtId="0" fontId="11" fillId="12" borderId="7" xfId="2" applyFont="1" applyFill="1" applyBorder="1" applyAlignment="1">
      <alignment horizontal="centerContinuous" vertical="center" wrapText="1"/>
    </xf>
    <xf numFmtId="0" fontId="11" fillId="12" borderId="8" xfId="2" applyFont="1" applyFill="1" applyBorder="1" applyAlignment="1">
      <alignment horizontal="centerContinuous" vertical="center" wrapText="1"/>
    </xf>
    <xf numFmtId="0" fontId="12" fillId="13" borderId="6" xfId="2" applyFont="1" applyFill="1" applyBorder="1" applyAlignment="1">
      <alignment horizontal="centerContinuous" vertical="center" wrapText="1"/>
    </xf>
    <xf numFmtId="0" fontId="12" fillId="13" borderId="7" xfId="2" applyFont="1" applyFill="1" applyBorder="1" applyAlignment="1">
      <alignment horizontal="centerContinuous" vertical="center" wrapText="1"/>
    </xf>
    <xf numFmtId="0" fontId="12" fillId="13" borderId="8" xfId="2" applyFont="1" applyFill="1" applyBorder="1" applyAlignment="1">
      <alignment horizontal="centerContinuous" vertical="center" wrapText="1"/>
    </xf>
    <xf numFmtId="0" fontId="13" fillId="14" borderId="6" xfId="2" applyFont="1" applyFill="1" applyBorder="1" applyAlignment="1">
      <alignment horizontal="centerContinuous" vertical="center" wrapText="1"/>
    </xf>
    <xf numFmtId="0" fontId="13" fillId="14" borderId="7" xfId="2" applyFont="1" applyFill="1" applyBorder="1" applyAlignment="1">
      <alignment horizontal="centerContinuous" vertical="center" wrapText="1"/>
    </xf>
    <xf numFmtId="0" fontId="13" fillId="14" borderId="8" xfId="2" applyFont="1" applyFill="1" applyBorder="1" applyAlignment="1">
      <alignment horizontal="centerContinuous" vertical="center" wrapText="1"/>
    </xf>
    <xf numFmtId="0" fontId="11" fillId="11" borderId="23" xfId="2" applyFont="1" applyFill="1" applyBorder="1" applyAlignment="1">
      <alignment horizontal="center" vertical="center" wrapText="1"/>
    </xf>
    <xf numFmtId="0" fontId="11" fillId="12" borderId="23" xfId="2" applyFont="1" applyFill="1" applyBorder="1" applyAlignment="1">
      <alignment horizontal="center" vertical="center" wrapText="1"/>
    </xf>
    <xf numFmtId="0" fontId="12" fillId="13" borderId="23" xfId="2" applyFont="1" applyFill="1" applyBorder="1" applyAlignment="1">
      <alignment horizontal="center" vertical="center" wrapText="1"/>
    </xf>
    <xf numFmtId="0" fontId="13" fillId="14" borderId="23" xfId="2" applyFont="1" applyFill="1" applyBorder="1" applyAlignment="1">
      <alignment horizontal="center" vertical="center" wrapText="1"/>
    </xf>
    <xf numFmtId="22" fontId="1" fillId="4" borderId="1" xfId="0" applyNumberFormat="1" applyFont="1" applyFill="1" applyBorder="1" applyAlignment="1">
      <alignment horizontal="left"/>
    </xf>
    <xf numFmtId="0" fontId="5" fillId="17" borderId="1" xfId="1" applyFill="1" applyBorder="1"/>
    <xf numFmtId="0" fontId="1" fillId="17" borderId="1" xfId="0" applyFont="1" applyFill="1" applyBorder="1"/>
    <xf numFmtId="0" fontId="1" fillId="17" borderId="1" xfId="0" applyFont="1" applyFill="1" applyBorder="1" applyAlignment="1">
      <alignment horizontal="left"/>
    </xf>
    <xf numFmtId="22" fontId="1" fillId="17" borderId="1" xfId="0" applyNumberFormat="1" applyFont="1" applyFill="1" applyBorder="1" applyAlignment="1">
      <alignment horizontal="left"/>
    </xf>
    <xf numFmtId="0" fontId="2" fillId="0" borderId="0" xfId="0" applyFont="1" applyAlignment="1">
      <alignment wrapText="1"/>
    </xf>
    <xf numFmtId="164" fontId="14" fillId="18" borderId="31" xfId="0" applyNumberFormat="1" applyFont="1" applyFill="1" applyBorder="1" applyProtection="1">
      <protection locked="0"/>
    </xf>
    <xf numFmtId="0" fontId="11" fillId="12" borderId="10" xfId="2" applyFont="1" applyFill="1" applyBorder="1" applyAlignment="1">
      <alignment horizontal="center" vertical="center" wrapText="1"/>
    </xf>
    <xf numFmtId="0" fontId="11" fillId="12" borderId="21" xfId="2" applyFont="1" applyFill="1" applyBorder="1" applyAlignment="1">
      <alignment horizontal="center" vertical="center" wrapText="1"/>
    </xf>
    <xf numFmtId="0" fontId="12" fillId="15" borderId="27" xfId="2" applyFont="1" applyFill="1" applyBorder="1" applyAlignment="1">
      <alignment horizontal="center" vertical="center"/>
    </xf>
    <xf numFmtId="0" fontId="12" fillId="15" borderId="29" xfId="2" applyFont="1" applyFill="1" applyBorder="1" applyAlignment="1">
      <alignment horizontal="center" vertical="center"/>
    </xf>
    <xf numFmtId="0" fontId="12" fillId="15" borderId="28" xfId="2" applyFont="1" applyFill="1" applyBorder="1" applyAlignment="1">
      <alignment horizontal="center" vertical="center"/>
    </xf>
    <xf numFmtId="0" fontId="12" fillId="15" borderId="30" xfId="2" applyFont="1" applyFill="1" applyBorder="1" applyAlignment="1">
      <alignment horizontal="center" vertical="center"/>
    </xf>
    <xf numFmtId="0" fontId="11" fillId="11" borderId="10" xfId="2" applyFont="1" applyFill="1" applyBorder="1" applyAlignment="1">
      <alignment horizontal="center" vertical="center" wrapText="1"/>
    </xf>
    <xf numFmtId="0" fontId="11" fillId="11" borderId="21" xfId="2" applyFont="1" applyFill="1" applyBorder="1" applyAlignment="1">
      <alignment horizontal="center" vertical="center" wrapText="1"/>
    </xf>
    <xf numFmtId="0" fontId="11" fillId="11" borderId="4" xfId="2" applyFont="1" applyFill="1" applyBorder="1" applyAlignment="1">
      <alignment horizontal="center" vertical="center" wrapText="1"/>
    </xf>
    <xf numFmtId="0" fontId="11" fillId="11" borderId="22" xfId="2" applyFont="1" applyFill="1" applyBorder="1" applyAlignment="1">
      <alignment horizontal="center" vertical="center" wrapText="1"/>
    </xf>
    <xf numFmtId="0" fontId="11" fillId="11" borderId="5" xfId="2" applyFont="1" applyFill="1" applyBorder="1" applyAlignment="1">
      <alignment horizontal="center" vertical="center" wrapText="1"/>
    </xf>
    <xf numFmtId="0" fontId="11" fillId="11" borderId="24" xfId="2" applyFont="1" applyFill="1" applyBorder="1" applyAlignment="1">
      <alignment horizontal="center" vertical="center" wrapText="1"/>
    </xf>
    <xf numFmtId="0" fontId="13" fillId="14" borderId="10" xfId="2" applyFont="1" applyFill="1" applyBorder="1" applyAlignment="1">
      <alignment horizontal="center" vertical="center" wrapText="1"/>
    </xf>
    <xf numFmtId="0" fontId="13" fillId="14" borderId="21" xfId="2" applyFont="1" applyFill="1" applyBorder="1" applyAlignment="1">
      <alignment horizontal="center" vertical="center" wrapText="1"/>
    </xf>
    <xf numFmtId="0" fontId="13" fillId="14" borderId="4" xfId="2" applyFont="1" applyFill="1" applyBorder="1" applyAlignment="1">
      <alignment horizontal="center" vertical="center" wrapText="1"/>
    </xf>
    <xf numFmtId="0" fontId="13" fillId="14" borderId="22" xfId="2" applyFont="1" applyFill="1" applyBorder="1" applyAlignment="1">
      <alignment horizontal="center" vertical="center" wrapText="1"/>
    </xf>
    <xf numFmtId="0" fontId="13" fillId="14" borderId="5" xfId="2" applyFont="1" applyFill="1" applyBorder="1" applyAlignment="1">
      <alignment horizontal="center" vertical="center" wrapText="1"/>
    </xf>
    <xf numFmtId="0" fontId="13" fillId="14" borderId="24" xfId="2" applyFont="1" applyFill="1" applyBorder="1" applyAlignment="1">
      <alignment horizontal="center" vertical="center" wrapText="1"/>
    </xf>
    <xf numFmtId="0" fontId="8" fillId="16" borderId="4" xfId="2" applyFont="1" applyFill="1" applyBorder="1" applyAlignment="1">
      <alignment horizontal="center" vertical="center" wrapText="1"/>
    </xf>
    <xf numFmtId="0" fontId="11" fillId="12" borderId="4" xfId="2" applyFont="1" applyFill="1" applyBorder="1" applyAlignment="1">
      <alignment horizontal="center" vertical="center" wrapText="1"/>
    </xf>
    <xf numFmtId="0" fontId="11" fillId="12" borderId="22" xfId="2" applyFont="1" applyFill="1" applyBorder="1" applyAlignment="1">
      <alignment horizontal="center" vertical="center" wrapText="1"/>
    </xf>
    <xf numFmtId="0" fontId="11" fillId="12" borderId="5" xfId="2" applyFont="1" applyFill="1" applyBorder="1" applyAlignment="1">
      <alignment horizontal="center" vertical="center" wrapText="1"/>
    </xf>
    <xf numFmtId="0" fontId="11" fillId="12" borderId="24" xfId="2" applyFont="1" applyFill="1" applyBorder="1" applyAlignment="1">
      <alignment horizontal="center" vertical="center" wrapText="1"/>
    </xf>
    <xf numFmtId="0" fontId="12" fillId="13" borderId="10" xfId="2" applyFont="1" applyFill="1" applyBorder="1" applyAlignment="1">
      <alignment horizontal="center" vertical="center" wrapText="1"/>
    </xf>
    <xf numFmtId="0" fontId="12" fillId="13" borderId="21" xfId="2" applyFont="1" applyFill="1" applyBorder="1" applyAlignment="1">
      <alignment horizontal="center" vertical="center" wrapText="1"/>
    </xf>
    <xf numFmtId="0" fontId="12" fillId="13" borderId="4" xfId="2" applyFont="1" applyFill="1" applyBorder="1" applyAlignment="1">
      <alignment horizontal="center" vertical="center" wrapText="1"/>
    </xf>
    <xf numFmtId="0" fontId="12" fillId="13" borderId="22" xfId="2" applyFont="1" applyFill="1" applyBorder="1" applyAlignment="1">
      <alignment horizontal="center" vertical="center" wrapText="1"/>
    </xf>
    <xf numFmtId="0" fontId="12" fillId="13" borderId="5" xfId="2" applyFont="1" applyFill="1" applyBorder="1" applyAlignment="1">
      <alignment horizontal="center" vertical="center" wrapText="1"/>
    </xf>
    <xf numFmtId="0" fontId="12" fillId="13" borderId="24" xfId="2" applyFont="1" applyFill="1" applyBorder="1" applyAlignment="1">
      <alignment horizontal="center" vertical="center" wrapText="1"/>
    </xf>
    <xf numFmtId="0" fontId="8" fillId="6" borderId="27" xfId="2" applyFont="1" applyFill="1" applyBorder="1" applyAlignment="1">
      <alignment horizontal="center" vertical="center"/>
    </xf>
    <xf numFmtId="0" fontId="8" fillId="6" borderId="29" xfId="2" applyFont="1" applyFill="1" applyBorder="1" applyAlignment="1">
      <alignment horizontal="center" vertical="center"/>
    </xf>
    <xf numFmtId="0" fontId="8" fillId="6" borderId="28" xfId="2" applyFont="1" applyFill="1" applyBorder="1" applyAlignment="1">
      <alignment horizontal="center" vertical="center"/>
    </xf>
    <xf numFmtId="0" fontId="8" fillId="6" borderId="30" xfId="2" applyFont="1" applyFill="1" applyBorder="1" applyAlignment="1">
      <alignment horizontal="center" vertical="center"/>
    </xf>
    <xf numFmtId="164" fontId="15" fillId="19" borderId="31" xfId="0" applyNumberFormat="1" applyFont="1" applyFill="1" applyBorder="1" applyProtection="1"/>
    <xf numFmtId="164" fontId="15" fillId="20" borderId="31" xfId="0" applyNumberFormat="1" applyFont="1" applyFill="1" applyBorder="1" applyProtection="1"/>
    <xf numFmtId="43" fontId="16" fillId="21" borderId="31" xfId="0" applyNumberFormat="1" applyFont="1" applyFill="1" applyBorder="1" applyProtection="1"/>
    <xf numFmtId="43" fontId="15" fillId="22" borderId="32" xfId="0" applyNumberFormat="1" applyFont="1" applyFill="1" applyBorder="1" applyProtection="1"/>
    <xf numFmtId="164" fontId="15" fillId="19" borderId="31" xfId="0" applyNumberFormat="1" applyFont="1" applyFill="1" applyBorder="1" applyAlignment="1" applyProtection="1"/>
    <xf numFmtId="164" fontId="15" fillId="19" borderId="31" xfId="0" applyNumberFormat="1" applyFont="1" applyFill="1" applyBorder="1" applyAlignment="1" applyProtection="1">
      <alignment horizontal="left" indent="2"/>
    </xf>
    <xf numFmtId="164" fontId="15" fillId="19" borderId="31" xfId="0" applyNumberFormat="1" applyFont="1" applyFill="1" applyBorder="1" applyAlignment="1" applyProtection="1">
      <alignment horizontal="left" indent="4"/>
    </xf>
    <xf numFmtId="43" fontId="14" fillId="18" borderId="31" xfId="0" applyNumberFormat="1" applyFont="1" applyFill="1" applyBorder="1" applyAlignment="1" applyProtection="1">
      <alignment horizontal="left" indent="6"/>
    </xf>
    <xf numFmtId="43" fontId="14" fillId="18" borderId="31" xfId="0" applyNumberFormat="1" applyFont="1" applyFill="1" applyBorder="1" applyAlignment="1" applyProtection="1">
      <alignment horizontal="left" indent="4"/>
    </xf>
    <xf numFmtId="164" fontId="15" fillId="19" borderId="31" xfId="0" applyNumberFormat="1" applyFont="1" applyFill="1" applyBorder="1" applyAlignment="1" applyProtection="1">
      <alignment horizontal="left" indent="6"/>
    </xf>
    <xf numFmtId="43" fontId="14" fillId="18" borderId="31" xfId="0" applyNumberFormat="1" applyFont="1" applyFill="1" applyBorder="1" applyAlignment="1" applyProtection="1">
      <alignment horizontal="left" indent="8"/>
    </xf>
    <xf numFmtId="43" fontId="14" fillId="18" borderId="31" xfId="0" applyNumberFormat="1" applyFont="1" applyFill="1" applyBorder="1" applyAlignment="1" applyProtection="1">
      <alignment horizontal="left" indent="2"/>
    </xf>
  </cellXfs>
  <cellStyles count="3">
    <cellStyle name="Hyperlink" xfId="1" builtinId="8"/>
    <cellStyle name="Normal" xfId="0" builtinId="0"/>
    <cellStyle name="Normal 2" xfId="2" xr:uid="{D8AE4D83-1140-4FCF-8902-DBCF1472A5EA}"/>
  </cellStyles>
  <dxfs count="0"/>
  <tableStyles count="0" defaultTableStyle="TableStyleMedium2" defaultPivotStyle="PivotStyleLight16"/>
  <colors>
    <mruColors>
      <color rgb="FFF2F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Controls!$C$27" lockText="1" noThreeD="1"/>
</file>

<file path=xl/ctrlProps/ctrlProp2.xml><?xml version="1.0" encoding="utf-8"?>
<formControlPr xmlns="http://schemas.microsoft.com/office/spreadsheetml/2009/9/main" objectType="CheckBox" fmlaLink="ColumnAOnly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1198513</xdr:colOff>
      <xdr:row>8</xdr:row>
      <xdr:rowOff>152402</xdr:rowOff>
    </xdr:from>
    <xdr:to>
      <xdr:col>3</xdr:col>
      <xdr:colOff>3211283</xdr:colOff>
      <xdr:row>9</xdr:row>
      <xdr:rowOff>206828</xdr:rowOff>
    </xdr:to>
    <xdr:grpSp>
      <xdr:nvGrpSpPr>
        <xdr:cNvPr id="3" name="grpHideEmptyRows">
          <a:extLst>
            <a:ext uri="{FF2B5EF4-FFF2-40B4-BE49-F238E27FC236}">
              <a16:creationId xmlns:a16="http://schemas.microsoft.com/office/drawing/2014/main" id="{BBCAFD01-2EF9-5E4F-19BB-50A572F399E4}"/>
            </a:ext>
          </a:extLst>
        </xdr:cNvPr>
        <xdr:cNvGrpSpPr/>
      </xdr:nvGrpSpPr>
      <xdr:grpSpPr>
        <a:xfrm>
          <a:off x="3354171" y="1272007"/>
          <a:ext cx="2012770" cy="305084"/>
          <a:chOff x="7610203" y="1981203"/>
          <a:chExt cx="2012770" cy="30478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Check Box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7610203" y="1990995"/>
                <a:ext cx="271054" cy="29499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[0]!HideEmptyRowsChk_Click" textlink="">
        <xdr:nvSpPr>
          <xdr:cNvPr id="2" name="TextBox 1">
            <a:extLst>
              <a:ext uri="{FF2B5EF4-FFF2-40B4-BE49-F238E27FC236}">
                <a16:creationId xmlns:a16="http://schemas.microsoft.com/office/drawing/2014/main" id="{E7B773FA-2D57-F903-4270-C695CFDB9347}"/>
              </a:ext>
            </a:extLst>
          </xdr:cNvPr>
          <xdr:cNvSpPr txBox="1"/>
        </xdr:nvSpPr>
        <xdr:spPr>
          <a:xfrm>
            <a:off x="7805057" y="1981203"/>
            <a:ext cx="1817916" cy="27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PH" sz="1600" kern="1200"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Hide Empty Rows</a:t>
            </a:r>
          </a:p>
        </xdr:txBody>
      </xdr:sp>
    </xdr:grpSp>
    <xdr:clientData/>
  </xdr:twoCellAnchor>
  <xdr:twoCellAnchor editAs="oneCell">
    <xdr:from>
      <xdr:col>2</xdr:col>
      <xdr:colOff>65313</xdr:colOff>
      <xdr:row>8</xdr:row>
      <xdr:rowOff>21770</xdr:rowOff>
    </xdr:from>
    <xdr:to>
      <xdr:col>2</xdr:col>
      <xdr:colOff>1330597</xdr:colOff>
      <xdr:row>9</xdr:row>
      <xdr:rowOff>155124</xdr:rowOff>
    </xdr:to>
    <xdr:grpSp>
      <xdr:nvGrpSpPr>
        <xdr:cNvPr id="10" name="grpRefresh">
          <a:extLst>
            <a:ext uri="{FF2B5EF4-FFF2-40B4-BE49-F238E27FC236}">
              <a16:creationId xmlns:a16="http://schemas.microsoft.com/office/drawing/2014/main" id="{C96CAF22-85B0-24B1-9044-F5E9CC2571B4}"/>
            </a:ext>
          </a:extLst>
        </xdr:cNvPr>
        <xdr:cNvGrpSpPr/>
      </xdr:nvGrpSpPr>
      <xdr:grpSpPr>
        <a:xfrm>
          <a:off x="449655" y="1141375"/>
          <a:ext cx="1265284" cy="384012"/>
          <a:chOff x="6030684" y="337457"/>
          <a:chExt cx="1262744" cy="402776"/>
        </a:xfrm>
      </xdr:grpSpPr>
      <xdr:pic macro="[0]!GenerateCTDReport_Click">
        <xdr:nvPicPr>
          <xdr:cNvPr id="5" name="Picture 4">
            <a:extLst>
              <a:ext uri="{FF2B5EF4-FFF2-40B4-BE49-F238E27FC236}">
                <a16:creationId xmlns:a16="http://schemas.microsoft.com/office/drawing/2014/main" id="{3BC69791-D8DC-794E-3730-6EDB1443A4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30684" y="337457"/>
            <a:ext cx="402776" cy="402776"/>
          </a:xfrm>
          <a:prstGeom prst="rect">
            <a:avLst/>
          </a:prstGeom>
        </xdr:spPr>
      </xdr:pic>
      <xdr:sp macro="[0]!GenerateCTDReport_Click" textlink="">
        <xdr:nvSpPr>
          <xdr:cNvPr id="8" name="TextBox 7">
            <a:extLst>
              <a:ext uri="{FF2B5EF4-FFF2-40B4-BE49-F238E27FC236}">
                <a16:creationId xmlns:a16="http://schemas.microsoft.com/office/drawing/2014/main" id="{3D942AD1-776F-2B98-3663-5EF32963EF9E}"/>
              </a:ext>
            </a:extLst>
          </xdr:cNvPr>
          <xdr:cNvSpPr txBox="1"/>
        </xdr:nvSpPr>
        <xdr:spPr>
          <a:xfrm>
            <a:off x="6411686" y="381000"/>
            <a:ext cx="881742" cy="3374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PH" sz="1600" b="1" kern="1200"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Refresh</a:t>
            </a:r>
          </a:p>
        </xdr:txBody>
      </xdr:sp>
    </xdr:grpSp>
    <xdr:clientData/>
  </xdr:twoCellAnchor>
  <xdr:twoCellAnchor editAs="oneCell">
    <xdr:from>
      <xdr:col>2</xdr:col>
      <xdr:colOff>1567544</xdr:colOff>
      <xdr:row>8</xdr:row>
      <xdr:rowOff>33341</xdr:rowOff>
    </xdr:from>
    <xdr:to>
      <xdr:col>3</xdr:col>
      <xdr:colOff>1064077</xdr:colOff>
      <xdr:row>9</xdr:row>
      <xdr:rowOff>193403</xdr:rowOff>
    </xdr:to>
    <xdr:grpSp>
      <xdr:nvGrpSpPr>
        <xdr:cNvPr id="11" name="grpSubmit">
          <a:extLst>
            <a:ext uri="{FF2B5EF4-FFF2-40B4-BE49-F238E27FC236}">
              <a16:creationId xmlns:a16="http://schemas.microsoft.com/office/drawing/2014/main" id="{186B2C85-A0B7-1B9B-F179-C9966364AEC9}"/>
            </a:ext>
          </a:extLst>
        </xdr:cNvPr>
        <xdr:cNvGrpSpPr/>
      </xdr:nvGrpSpPr>
      <xdr:grpSpPr>
        <a:xfrm>
          <a:off x="1951886" y="1152946"/>
          <a:ext cx="1267849" cy="410720"/>
          <a:chOff x="7826830" y="664712"/>
          <a:chExt cx="1317169" cy="412974"/>
        </a:xfrm>
      </xdr:grpSpPr>
      <xdr:pic macro="[0]!SendValues_Click">
        <xdr:nvPicPr>
          <xdr:cNvPr id="7" name="Picture 6">
            <a:extLst>
              <a:ext uri="{FF2B5EF4-FFF2-40B4-BE49-F238E27FC236}">
                <a16:creationId xmlns:a16="http://schemas.microsoft.com/office/drawing/2014/main" id="{0866D064-632C-65A9-438E-82C204E1F0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826830" y="664712"/>
            <a:ext cx="402770" cy="402770"/>
          </a:xfrm>
          <a:prstGeom prst="rect">
            <a:avLst/>
          </a:prstGeom>
        </xdr:spPr>
      </xdr:pic>
      <xdr:sp macro="[0]!SendValues_Click" textlink="">
        <xdr:nvSpPr>
          <xdr:cNvPr id="9" name="TextBox 8">
            <a:extLst>
              <a:ext uri="{FF2B5EF4-FFF2-40B4-BE49-F238E27FC236}">
                <a16:creationId xmlns:a16="http://schemas.microsoft.com/office/drawing/2014/main" id="{D10CCE42-29B6-4B82-A829-ED34ED7F216A}"/>
              </a:ext>
            </a:extLst>
          </xdr:cNvPr>
          <xdr:cNvSpPr txBox="1"/>
        </xdr:nvSpPr>
        <xdr:spPr>
          <a:xfrm>
            <a:off x="8251371" y="696686"/>
            <a:ext cx="892628" cy="381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PH" sz="1600" b="1" kern="1200"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Submit</a:t>
            </a:r>
            <a:endParaRPr lang="en-PH" sz="1200" b="1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391887</xdr:colOff>
      <xdr:row>4</xdr:row>
      <xdr:rowOff>10885</xdr:rowOff>
    </xdr:from>
    <xdr:to>
      <xdr:col>2</xdr:col>
      <xdr:colOff>1712456</xdr:colOff>
      <xdr:row>5</xdr:row>
      <xdr:rowOff>1089</xdr:rowOff>
    </xdr:to>
    <xdr:sp macro="[0]!SelectProject_Click" textlink="">
      <xdr:nvSpPr>
        <xdr:cNvPr id="4" name="shpSelectProject">
          <a:extLst>
            <a:ext uri="{FF2B5EF4-FFF2-40B4-BE49-F238E27FC236}">
              <a16:creationId xmlns:a16="http://schemas.microsoft.com/office/drawing/2014/main" id="{A603A385-F909-25C5-2157-2BCC8464A94A}"/>
            </a:ext>
          </a:extLst>
        </xdr:cNvPr>
        <xdr:cNvSpPr/>
      </xdr:nvSpPr>
      <xdr:spPr>
        <a:xfrm>
          <a:off x="391887" y="261256"/>
          <a:ext cx="1720800" cy="348343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1" kern="1200">
              <a:solidFill>
                <a:srgbClr val="FFFF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Select Project</a:t>
          </a:r>
        </a:p>
      </xdr:txBody>
    </xdr:sp>
    <xdr:clientData/>
  </xdr:twoCellAnchor>
  <xdr:twoCellAnchor editAs="oneCell">
    <xdr:from>
      <xdr:col>2</xdr:col>
      <xdr:colOff>10886</xdr:colOff>
      <xdr:row>5</xdr:row>
      <xdr:rowOff>32657</xdr:rowOff>
    </xdr:from>
    <xdr:to>
      <xdr:col>2</xdr:col>
      <xdr:colOff>1749879</xdr:colOff>
      <xdr:row>7</xdr:row>
      <xdr:rowOff>35197</xdr:rowOff>
    </xdr:to>
    <xdr:sp macro="[0]!SelectCostBreakDown_Click" textlink="">
      <xdr:nvSpPr>
        <xdr:cNvPr id="6" name="shpSelectCostBreakdown">
          <a:extLst>
            <a:ext uri="{FF2B5EF4-FFF2-40B4-BE49-F238E27FC236}">
              <a16:creationId xmlns:a16="http://schemas.microsoft.com/office/drawing/2014/main" id="{8455DDEF-936F-45D5-B235-6A6BF000F034}"/>
            </a:ext>
          </a:extLst>
        </xdr:cNvPr>
        <xdr:cNvSpPr/>
      </xdr:nvSpPr>
      <xdr:spPr>
        <a:xfrm>
          <a:off x="413657" y="653143"/>
          <a:ext cx="1719943" cy="348343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1" kern="1200">
              <a:solidFill>
                <a:srgbClr val="FFFF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Select Cost Breakdown</a:t>
          </a:r>
        </a:p>
      </xdr:txBody>
    </xdr:sp>
    <xdr:clientData/>
  </xdr:twoCellAnchor>
  <xdr:twoCellAnchor>
    <xdr:from>
      <xdr:col>3</xdr:col>
      <xdr:colOff>1197426</xdr:colOff>
      <xdr:row>7</xdr:row>
      <xdr:rowOff>2</xdr:rowOff>
    </xdr:from>
    <xdr:to>
      <xdr:col>5</xdr:col>
      <xdr:colOff>152397</xdr:colOff>
      <xdr:row>8</xdr:row>
      <xdr:rowOff>152399</xdr:rowOff>
    </xdr:to>
    <xdr:grpSp>
      <xdr:nvGrpSpPr>
        <xdr:cNvPr id="12" name="grpBudgetUpdate">
          <a:extLst>
            <a:ext uri="{FF2B5EF4-FFF2-40B4-BE49-F238E27FC236}">
              <a16:creationId xmlns:a16="http://schemas.microsoft.com/office/drawing/2014/main" id="{D6D9C14C-D9DA-4B71-A9FF-D634A4C5BB77}"/>
            </a:ext>
          </a:extLst>
        </xdr:cNvPr>
        <xdr:cNvGrpSpPr/>
      </xdr:nvGrpSpPr>
      <xdr:grpSpPr>
        <a:xfrm>
          <a:off x="3353084" y="969213"/>
          <a:ext cx="2297076" cy="302791"/>
          <a:chOff x="7610195" y="1981203"/>
          <a:chExt cx="2416636" cy="304823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0" name="Check Box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7610195" y="1991005"/>
                <a:ext cx="271054" cy="29502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[0]!ColAOnlyChk_Click" textlink="">
        <xdr:nvSpPr>
          <xdr:cNvPr id="13" name="TextBox 12">
            <a:extLst>
              <a:ext uri="{FF2B5EF4-FFF2-40B4-BE49-F238E27FC236}">
                <a16:creationId xmlns:a16="http://schemas.microsoft.com/office/drawing/2014/main" id="{93757D4F-AED1-8D82-1968-045F57E190D6}"/>
              </a:ext>
            </a:extLst>
          </xdr:cNvPr>
          <xdr:cNvSpPr txBox="1"/>
        </xdr:nvSpPr>
        <xdr:spPr>
          <a:xfrm>
            <a:off x="7805057" y="1981203"/>
            <a:ext cx="2221774" cy="2939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PH" sz="1600" kern="1200"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Budgetary Update</a:t>
            </a:r>
          </a:p>
        </xdr:txBody>
      </xdr:sp>
    </xdr:grpSp>
    <xdr:clientData/>
  </xdr:twoCellAnchor>
  <xdr:twoCellAnchor editAs="oneCell">
    <xdr:from>
      <xdr:col>10</xdr:col>
      <xdr:colOff>136071</xdr:colOff>
      <xdr:row>4</xdr:row>
      <xdr:rowOff>13608</xdr:rowOff>
    </xdr:from>
    <xdr:to>
      <xdr:col>11</xdr:col>
      <xdr:colOff>73478</xdr:colOff>
      <xdr:row>5</xdr:row>
      <xdr:rowOff>3</xdr:rowOff>
    </xdr:to>
    <xdr:sp macro="[0]!UploadExcelFile_Click" textlink="">
      <xdr:nvSpPr>
        <xdr:cNvPr id="14" name="shpUploadFile">
          <a:extLst>
            <a:ext uri="{FF2B5EF4-FFF2-40B4-BE49-F238E27FC236}">
              <a16:creationId xmlns:a16="http://schemas.microsoft.com/office/drawing/2014/main" id="{9C6703BC-3B67-4A7A-A27B-18E7872C4AFB}"/>
            </a:ext>
          </a:extLst>
        </xdr:cNvPr>
        <xdr:cNvSpPr/>
      </xdr:nvSpPr>
      <xdr:spPr>
        <a:xfrm>
          <a:off x="12994821" y="258537"/>
          <a:ext cx="1719943" cy="353786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1" kern="1200">
              <a:solidFill>
                <a:srgbClr val="FFFF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Upload</a:t>
          </a:r>
        </a:p>
      </xdr:txBody>
    </xdr:sp>
    <xdr:clientData/>
  </xdr:twoCellAnchor>
  <xdr:twoCellAnchor editAs="oneCell">
    <xdr:from>
      <xdr:col>10</xdr:col>
      <xdr:colOff>149678</xdr:colOff>
      <xdr:row>6</xdr:row>
      <xdr:rowOff>40822</xdr:rowOff>
    </xdr:from>
    <xdr:to>
      <xdr:col>11</xdr:col>
      <xdr:colOff>110580</xdr:colOff>
      <xdr:row>7</xdr:row>
      <xdr:rowOff>78741</xdr:rowOff>
    </xdr:to>
    <xdr:sp macro="[0]!RetrieveExcelFile_Click" textlink="">
      <xdr:nvSpPr>
        <xdr:cNvPr id="15" name="shpRetrieveFile">
          <a:extLst>
            <a:ext uri="{FF2B5EF4-FFF2-40B4-BE49-F238E27FC236}">
              <a16:creationId xmlns:a16="http://schemas.microsoft.com/office/drawing/2014/main" id="{D30B4681-E37D-4986-99E2-6750F8466973}"/>
            </a:ext>
          </a:extLst>
        </xdr:cNvPr>
        <xdr:cNvSpPr/>
      </xdr:nvSpPr>
      <xdr:spPr>
        <a:xfrm>
          <a:off x="13008428" y="707572"/>
          <a:ext cx="1719943" cy="353786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1" kern="1200">
              <a:solidFill>
                <a:srgbClr val="FFFF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Retrieve</a:t>
          </a:r>
          <a:r>
            <a:rPr lang="en-PH" sz="1200" b="1" kern="1200" baseline="0">
              <a:solidFill>
                <a:srgbClr val="FFFF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File</a:t>
          </a:r>
          <a:endParaRPr lang="en-PH" sz="1200" b="1" kern="1200">
            <a:solidFill>
              <a:srgbClr val="FFFF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hyperlink" Target="https://terpasia.xurpaslab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59C4E-9BAC-4310-8298-66B6A3B5C170}">
  <sheetPr codeName="Sheet1">
    <pageSetUpPr autoPageBreaks="0"/>
  </sheetPr>
  <dimension ref="B1:AL126"/>
  <sheetViews>
    <sheetView showGridLines="0" tabSelected="1" topLeftCell="A4" zoomScale="57" zoomScaleNormal="70" workbookViewId="0">
      <pane xSplit="5" ySplit="9" topLeftCell="F91" activePane="bottomRight" state="frozen"/>
      <selection activeCell="A4" sqref="A4"/>
      <selection pane="topRight" activeCell="F4" sqref="F4"/>
      <selection pane="bottomLeft" activeCell="A13" sqref="A13"/>
      <selection pane="bottomRight" activeCell="T126" sqref="T126"/>
    </sheetView>
  </sheetViews>
  <sheetFormatPr defaultColWidth="9.140625" defaultRowHeight="20.100000000000001" customHeight="1" outlineLevelRow="1" outlineLevelCol="1" x14ac:dyDescent="0.3"/>
  <cols>
    <col min="1" max="1" width="5.85546875" style="1" customWidth="1"/>
    <col min="2" max="2" width="8.85546875" style="1" hidden="1" customWidth="1"/>
    <col min="3" max="3" width="26.5703125" style="1" customWidth="1"/>
    <col min="4" max="4" width="49.5703125" style="1" customWidth="1"/>
    <col min="5" max="5" width="0.42578125" style="1" customWidth="1" outlineLevel="1"/>
    <col min="6" max="6" width="18.5703125" style="1" customWidth="1" outlineLevel="1"/>
    <col min="7" max="7" width="10.5703125" style="1" customWidth="1" outlineLevel="1"/>
    <col min="8" max="11" width="26.5703125" style="1" customWidth="1" outlineLevel="1"/>
    <col min="12" max="12" width="26.5703125" style="1" customWidth="1"/>
    <col min="13" max="13" width="1.42578125" style="1" customWidth="1" outlineLevel="1"/>
    <col min="14" max="14" width="18.5703125" style="1" customWidth="1" outlineLevel="1"/>
    <col min="15" max="15" width="10.5703125" style="1" customWidth="1" outlineLevel="1"/>
    <col min="16" max="19" width="26.5703125" style="1" customWidth="1" outlineLevel="1"/>
    <col min="20" max="20" width="26.5703125" style="1" customWidth="1"/>
    <col min="21" max="21" width="0.5703125" style="1" customWidth="1" outlineLevel="1"/>
    <col min="22" max="22" width="18.5703125" style="1" customWidth="1" outlineLevel="1"/>
    <col min="23" max="23" width="10.5703125" style="1" customWidth="1" outlineLevel="1"/>
    <col min="24" max="27" width="26.5703125" style="1" customWidth="1" outlineLevel="1"/>
    <col min="28" max="28" width="26.5703125" style="1" customWidth="1"/>
    <col min="29" max="29" width="0.5703125" style="1" customWidth="1" outlineLevel="1"/>
    <col min="30" max="30" width="18.5703125" style="1" customWidth="1" outlineLevel="1"/>
    <col min="31" max="31" width="10.5703125" style="1" customWidth="1" outlineLevel="1"/>
    <col min="32" max="35" width="26.5703125" style="1" customWidth="1" outlineLevel="1"/>
    <col min="36" max="36" width="26.5703125" style="1" customWidth="1"/>
    <col min="37" max="37" width="0.5703125" style="1" customWidth="1" outlineLevel="1"/>
    <col min="38" max="39" width="72.140625" style="1" customWidth="1"/>
    <col min="40" max="16384" width="9.140625" style="1"/>
  </cols>
  <sheetData>
    <row r="1" spans="2:38" ht="20.100000000000001" hidden="1" customHeight="1" x14ac:dyDescent="0.3">
      <c r="L1" s="1">
        <f>SUM(H1:K1)</f>
        <v>0</v>
      </c>
      <c r="T1" s="1">
        <f>SUM(P1:S1)</f>
        <v>0</v>
      </c>
      <c r="AB1" s="1">
        <f>SUM(X1:AA1)</f>
        <v>0</v>
      </c>
      <c r="AD1" s="1">
        <f>V1+N1</f>
        <v>0</v>
      </c>
      <c r="AE1" s="1" t="str">
        <f>IF(W1&lt;&gt;"",W1,"")</f>
        <v/>
      </c>
      <c r="AF1" s="1">
        <f>X1+P1</f>
        <v>0</v>
      </c>
      <c r="AG1" s="1">
        <f>Y1+Q1</f>
        <v>0</v>
      </c>
      <c r="AH1" s="1">
        <f>Z1+R1</f>
        <v>0</v>
      </c>
      <c r="AI1" s="1">
        <f>AA1+S1</f>
        <v>0</v>
      </c>
      <c r="AJ1" s="1">
        <f>SUM(AF1:AI1)</f>
        <v>0</v>
      </c>
    </row>
    <row r="2" spans="2:38" ht="20.100000000000001" hidden="1" customHeight="1" x14ac:dyDescent="0.3"/>
    <row r="3" spans="2:38" ht="20.100000000000001" hidden="1" customHeight="1" x14ac:dyDescent="0.3">
      <c r="E3" s="1" t="s">
        <v>46</v>
      </c>
      <c r="F3" s="1" t="s">
        <v>37</v>
      </c>
      <c r="G3" s="1" t="s">
        <v>30</v>
      </c>
      <c r="H3" s="1" t="s">
        <v>31</v>
      </c>
      <c r="I3" s="1" t="s">
        <v>32</v>
      </c>
      <c r="J3" s="1" t="s">
        <v>33</v>
      </c>
      <c r="K3" s="1" t="s">
        <v>34</v>
      </c>
      <c r="L3" s="1" t="s">
        <v>35</v>
      </c>
      <c r="M3" s="1" t="s">
        <v>46</v>
      </c>
      <c r="N3" s="1" t="s">
        <v>53</v>
      </c>
      <c r="O3" s="1" t="s">
        <v>54</v>
      </c>
      <c r="P3" s="1" t="s">
        <v>55</v>
      </c>
      <c r="Q3" s="1" t="s">
        <v>56</v>
      </c>
      <c r="R3" s="1" t="s">
        <v>57</v>
      </c>
      <c r="S3" s="1" t="s">
        <v>58</v>
      </c>
      <c r="T3" s="1" t="s">
        <v>59</v>
      </c>
      <c r="U3" s="1" t="s">
        <v>46</v>
      </c>
      <c r="V3" s="1" t="s">
        <v>77</v>
      </c>
      <c r="W3" s="1" t="s">
        <v>78</v>
      </c>
      <c r="X3" s="1" t="s">
        <v>79</v>
      </c>
      <c r="Y3" s="1" t="s">
        <v>80</v>
      </c>
      <c r="Z3" s="1" t="s">
        <v>81</v>
      </c>
      <c r="AA3" s="1" t="s">
        <v>82</v>
      </c>
      <c r="AB3" s="1" t="s">
        <v>83</v>
      </c>
      <c r="AC3" s="1" t="s">
        <v>46</v>
      </c>
      <c r="AD3" s="1" t="s">
        <v>87</v>
      </c>
      <c r="AE3" s="1" t="s">
        <v>88</v>
      </c>
      <c r="AF3" s="1" t="s">
        <v>89</v>
      </c>
      <c r="AG3" s="1" t="s">
        <v>90</v>
      </c>
      <c r="AH3" s="1" t="s">
        <v>91</v>
      </c>
      <c r="AI3" s="1" t="s">
        <v>92</v>
      </c>
      <c r="AJ3" s="1" t="s">
        <v>93</v>
      </c>
      <c r="AK3" s="1" t="s">
        <v>46</v>
      </c>
      <c r="AL3" s="1" t="s">
        <v>84</v>
      </c>
    </row>
    <row r="5" spans="2:38" ht="28.9" customHeight="1" x14ac:dyDescent="0.3">
      <c r="C5" s="2"/>
      <c r="D5" s="2" t="s">
        <v>567</v>
      </c>
    </row>
    <row r="6" spans="2:38" ht="3.75" customHeight="1" x14ac:dyDescent="0.3">
      <c r="C6" s="2"/>
      <c r="D6" s="3"/>
    </row>
    <row r="7" spans="2:38" ht="24" customHeight="1" x14ac:dyDescent="0.3">
      <c r="C7" s="2"/>
      <c r="D7" s="2" t="s">
        <v>69</v>
      </c>
    </row>
    <row r="8" spans="2:38" ht="12" customHeight="1" x14ac:dyDescent="0.3">
      <c r="C8" s="2"/>
      <c r="D8" s="2"/>
    </row>
    <row r="9" spans="2:38" ht="20.100000000000001" customHeight="1" thickBot="1" x14ac:dyDescent="0.3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2:38" ht="19.5" customHeight="1" x14ac:dyDescent="0.3">
      <c r="B10"/>
      <c r="D10" s="33"/>
      <c r="E10" s="10"/>
      <c r="F10" s="34" t="s">
        <v>29</v>
      </c>
      <c r="G10" s="35"/>
      <c r="H10" s="35"/>
      <c r="I10" s="35"/>
      <c r="J10" s="35"/>
      <c r="K10" s="35"/>
      <c r="L10" s="36"/>
      <c r="M10" s="12"/>
      <c r="N10" s="37" t="s">
        <v>60</v>
      </c>
      <c r="O10" s="38"/>
      <c r="P10" s="38"/>
      <c r="Q10" s="38"/>
      <c r="R10" s="38"/>
      <c r="S10" s="38"/>
      <c r="T10" s="39"/>
      <c r="U10" s="12"/>
      <c r="V10" s="40" t="s">
        <v>70</v>
      </c>
      <c r="W10" s="41"/>
      <c r="X10" s="41"/>
      <c r="Y10" s="41"/>
      <c r="Z10" s="41"/>
      <c r="AA10" s="41"/>
      <c r="AB10" s="42"/>
      <c r="AC10" s="12"/>
      <c r="AD10" s="43" t="s">
        <v>85</v>
      </c>
      <c r="AE10" s="44"/>
      <c r="AF10" s="44"/>
      <c r="AG10" s="44"/>
      <c r="AH10" s="44"/>
      <c r="AI10" s="44"/>
      <c r="AJ10" s="45"/>
      <c r="AK10" s="12"/>
      <c r="AL10"/>
    </row>
    <row r="11" spans="2:38" ht="20.100000000000001" customHeight="1" x14ac:dyDescent="0.3">
      <c r="B11"/>
      <c r="C11" s="71" t="s">
        <v>14</v>
      </c>
      <c r="D11" s="73" t="s">
        <v>15</v>
      </c>
      <c r="E11" s="11"/>
      <c r="F11" s="75" t="s">
        <v>16</v>
      </c>
      <c r="G11" s="77" t="s">
        <v>17</v>
      </c>
      <c r="H11" s="46" t="s">
        <v>23</v>
      </c>
      <c r="I11" s="47"/>
      <c r="J11" s="47"/>
      <c r="K11" s="48"/>
      <c r="L11" s="79" t="s">
        <v>22</v>
      </c>
      <c r="M11" s="9"/>
      <c r="N11" s="69" t="s">
        <v>62</v>
      </c>
      <c r="O11" s="88" t="s">
        <v>17</v>
      </c>
      <c r="P11" s="49" t="s">
        <v>61</v>
      </c>
      <c r="Q11" s="50"/>
      <c r="R11" s="50"/>
      <c r="S11" s="51"/>
      <c r="T11" s="90" t="s">
        <v>63</v>
      </c>
      <c r="U11" s="9"/>
      <c r="V11" s="92" t="s">
        <v>71</v>
      </c>
      <c r="W11" s="94" t="s">
        <v>17</v>
      </c>
      <c r="X11" s="52" t="s">
        <v>128</v>
      </c>
      <c r="Y11" s="53"/>
      <c r="Z11" s="53"/>
      <c r="AA11" s="54"/>
      <c r="AB11" s="96" t="s">
        <v>72</v>
      </c>
      <c r="AC11" s="9"/>
      <c r="AD11" s="81" t="s">
        <v>94</v>
      </c>
      <c r="AE11" s="83" t="s">
        <v>17</v>
      </c>
      <c r="AF11" s="55" t="s">
        <v>128</v>
      </c>
      <c r="AG11" s="56"/>
      <c r="AH11" s="56"/>
      <c r="AI11" s="57"/>
      <c r="AJ11" s="85" t="s">
        <v>86</v>
      </c>
      <c r="AK11" s="9"/>
      <c r="AL11" s="87" t="s">
        <v>73</v>
      </c>
    </row>
    <row r="12" spans="2:38" ht="20.100000000000001" customHeight="1" thickBot="1" x14ac:dyDescent="0.35">
      <c r="B12"/>
      <c r="C12" s="72"/>
      <c r="D12" s="74"/>
      <c r="E12" s="11"/>
      <c r="F12" s="76"/>
      <c r="G12" s="78"/>
      <c r="H12" s="58" t="s">
        <v>18</v>
      </c>
      <c r="I12" s="58" t="s">
        <v>19</v>
      </c>
      <c r="J12" s="58" t="s">
        <v>20</v>
      </c>
      <c r="K12" s="58" t="s">
        <v>21</v>
      </c>
      <c r="L12" s="80"/>
      <c r="M12" s="28"/>
      <c r="N12" s="70"/>
      <c r="O12" s="89"/>
      <c r="P12" s="59" t="s">
        <v>18</v>
      </c>
      <c r="Q12" s="59" t="s">
        <v>19</v>
      </c>
      <c r="R12" s="59" t="s">
        <v>20</v>
      </c>
      <c r="S12" s="59" t="s">
        <v>21</v>
      </c>
      <c r="T12" s="91"/>
      <c r="U12" s="28"/>
      <c r="V12" s="93"/>
      <c r="W12" s="95"/>
      <c r="X12" s="60" t="s">
        <v>18</v>
      </c>
      <c r="Y12" s="60" t="s">
        <v>19</v>
      </c>
      <c r="Z12" s="60" t="s">
        <v>20</v>
      </c>
      <c r="AA12" s="60" t="s">
        <v>21</v>
      </c>
      <c r="AB12" s="97"/>
      <c r="AC12" s="28"/>
      <c r="AD12" s="82"/>
      <c r="AE12" s="84"/>
      <c r="AF12" s="61" t="s">
        <v>18</v>
      </c>
      <c r="AG12" s="61" t="s">
        <v>19</v>
      </c>
      <c r="AH12" s="61" t="s">
        <v>20</v>
      </c>
      <c r="AI12" s="61" t="s">
        <v>21</v>
      </c>
      <c r="AJ12" s="86"/>
      <c r="AK12" s="9"/>
      <c r="AL12" s="87"/>
    </row>
    <row r="13" spans="2:38" ht="20.100000000000001" customHeight="1" x14ac:dyDescent="0.3">
      <c r="B13" s="106" t="s">
        <v>465</v>
      </c>
      <c r="C13" s="106" t="s">
        <v>134</v>
      </c>
      <c r="D13" s="106" t="s">
        <v>466</v>
      </c>
      <c r="E13" s="105"/>
      <c r="F13" s="102"/>
      <c r="G13" s="102"/>
      <c r="H13" s="102">
        <f>SUM(H14,H17,H22,H25,H36,H38,H45,H52,H57,H61,H68,H76,H79)</f>
        <v>77396437.799999997</v>
      </c>
      <c r="I13" s="102">
        <f>SUM(I14,I17,I22,I25,I36,I38,I45,I52,I57,I61,I68,I76,I79)</f>
        <v>240000</v>
      </c>
      <c r="J13" s="102">
        <f>SUM(J14,J17,J22,J25,J36,J38,J45,J52,J57,J61,J68,J76,J79)</f>
        <v>9528000</v>
      </c>
      <c r="K13" s="102">
        <f>SUM(K14,K17,K22,K25,K36,K38,K45,K52,K57,K61,K68,K76,K79)</f>
        <v>0</v>
      </c>
      <c r="L13" s="103">
        <f t="shared" ref="L13:L44" si="0">SUM(H13:K13)</f>
        <v>87164437.799999997</v>
      </c>
      <c r="M13" s="105"/>
      <c r="N13" s="102"/>
      <c r="O13" s="102"/>
      <c r="P13" s="102">
        <f>SUM(P14,P17,P22,P25,P36,P38,P45,P52,P57,P61,P68,P76,P79)</f>
        <v>312692</v>
      </c>
      <c r="Q13" s="102">
        <f>SUM(Q14,Q17,Q22,Q25,Q36,Q38,Q45,Q52,Q57,Q61,Q68,Q76,Q79)</f>
        <v>5715555.29</v>
      </c>
      <c r="R13" s="102">
        <f>SUM(R14,R17,R22,R25,R36,R38,R45,R52,R57,R61,R68,R76,R79)</f>
        <v>124020</v>
      </c>
      <c r="S13" s="102">
        <f>SUM(S14,S17,S22,S25,S36,S38,S45,S52,S57,S61,S68,S76,S79)</f>
        <v>92810.06</v>
      </c>
      <c r="T13" s="103">
        <f t="shared" ref="T13:T44" si="1">SUM(P13:S13)</f>
        <v>6245077.3499999996</v>
      </c>
      <c r="U13" s="105"/>
      <c r="V13" s="102"/>
      <c r="W13" s="102"/>
      <c r="X13" s="102">
        <f>SUM(X14,X17,X22,X25,X36,X38,X45,X52,X57,X61,X68,X76,X79)</f>
        <v>0</v>
      </c>
      <c r="Y13" s="102">
        <f>SUM(Y14,Y17,Y22,Y25,Y36,Y38,Y45,Y52,Y57,Y61,Y68,Y76,Y79)</f>
        <v>0</v>
      </c>
      <c r="Z13" s="102">
        <f>SUM(Z14,Z17,Z22,Z25,Z36,Z38,Z45,Z52,Z57,Z61,Z68,Z76,Z79)</f>
        <v>0</v>
      </c>
      <c r="AA13" s="102">
        <f>SUM(AA14,AA17,AA22,AA25,AA36,AA38,AA45,AA52,AA57,AA61,AA68,AA76,AA79)</f>
        <v>0</v>
      </c>
      <c r="AB13" s="103">
        <f t="shared" ref="AB13:AB44" si="2">SUM(X13:AA13)</f>
        <v>0</v>
      </c>
      <c r="AC13" s="105"/>
      <c r="AD13" s="102">
        <f t="shared" ref="AD13:AD44" si="3">V13+N13</f>
        <v>0</v>
      </c>
      <c r="AE13" s="102" t="str">
        <f t="shared" ref="AE13:AE44" si="4">IF(W13&lt;&gt;"",W13,"")</f>
        <v/>
      </c>
      <c r="AF13" s="102">
        <f t="shared" ref="AF13:AF44" si="5">X13+P13</f>
        <v>312692</v>
      </c>
      <c r="AG13" s="102">
        <f t="shared" ref="AG13:AG44" si="6">Y13+Q13</f>
        <v>5715555.29</v>
      </c>
      <c r="AH13" s="102">
        <f t="shared" ref="AH13:AH44" si="7">Z13+R13</f>
        <v>124020</v>
      </c>
      <c r="AI13" s="102">
        <f t="shared" ref="AI13:AI44" si="8">AA13+S13</f>
        <v>92810.06</v>
      </c>
      <c r="AJ13" s="103">
        <f t="shared" ref="AJ13:AJ44" si="9">SUM(AF13:AI13)</f>
        <v>6245077.3499999996</v>
      </c>
      <c r="AK13" s="105"/>
      <c r="AL13" s="102"/>
    </row>
    <row r="14" spans="2:38" ht="20.100000000000001" customHeight="1" outlineLevel="1" x14ac:dyDescent="0.3">
      <c r="B14" s="107" t="s">
        <v>467</v>
      </c>
      <c r="C14" s="107" t="s">
        <v>135</v>
      </c>
      <c r="D14" s="107" t="s">
        <v>468</v>
      </c>
      <c r="E14" s="105"/>
      <c r="F14" s="102"/>
      <c r="G14" s="102"/>
      <c r="H14" s="102">
        <f>H15</f>
        <v>0</v>
      </c>
      <c r="I14" s="102">
        <f>I15</f>
        <v>240000</v>
      </c>
      <c r="J14" s="102">
        <f>J15</f>
        <v>0</v>
      </c>
      <c r="K14" s="102">
        <f>K15</f>
        <v>0</v>
      </c>
      <c r="L14" s="103">
        <f t="shared" si="0"/>
        <v>240000</v>
      </c>
      <c r="M14" s="105"/>
      <c r="N14" s="102"/>
      <c r="O14" s="102"/>
      <c r="P14" s="102">
        <f>P15</f>
        <v>0</v>
      </c>
      <c r="Q14" s="102">
        <f>Q15</f>
        <v>0</v>
      </c>
      <c r="R14" s="102">
        <f>R15</f>
        <v>0</v>
      </c>
      <c r="S14" s="102">
        <f>S15</f>
        <v>0</v>
      </c>
      <c r="T14" s="103">
        <f t="shared" si="1"/>
        <v>0</v>
      </c>
      <c r="U14" s="105"/>
      <c r="V14" s="102"/>
      <c r="W14" s="102"/>
      <c r="X14" s="102">
        <f>X15</f>
        <v>0</v>
      </c>
      <c r="Y14" s="102">
        <f>Y15</f>
        <v>0</v>
      </c>
      <c r="Z14" s="102">
        <f>Z15</f>
        <v>0</v>
      </c>
      <c r="AA14" s="102">
        <f>AA15</f>
        <v>0</v>
      </c>
      <c r="AB14" s="103">
        <f t="shared" si="2"/>
        <v>0</v>
      </c>
      <c r="AC14" s="105"/>
      <c r="AD14" s="102">
        <f t="shared" si="3"/>
        <v>0</v>
      </c>
      <c r="AE14" s="102" t="str">
        <f t="shared" si="4"/>
        <v/>
      </c>
      <c r="AF14" s="102">
        <f t="shared" si="5"/>
        <v>0</v>
      </c>
      <c r="AG14" s="102">
        <f t="shared" si="6"/>
        <v>0</v>
      </c>
      <c r="AH14" s="102">
        <f t="shared" si="7"/>
        <v>0</v>
      </c>
      <c r="AI14" s="102">
        <f t="shared" si="8"/>
        <v>0</v>
      </c>
      <c r="AJ14" s="103">
        <f t="shared" si="9"/>
        <v>0</v>
      </c>
      <c r="AK14" s="105"/>
      <c r="AL14" s="102"/>
    </row>
    <row r="15" spans="2:38" ht="20.100000000000001" customHeight="1" outlineLevel="1" x14ac:dyDescent="0.3">
      <c r="B15" s="108" t="s">
        <v>510</v>
      </c>
      <c r="C15" s="108" t="s">
        <v>136</v>
      </c>
      <c r="D15" s="108" t="s">
        <v>511</v>
      </c>
      <c r="E15" s="105"/>
      <c r="F15" s="102"/>
      <c r="G15" s="102"/>
      <c r="H15" s="102">
        <f>H16</f>
        <v>0</v>
      </c>
      <c r="I15" s="102">
        <f>I16</f>
        <v>240000</v>
      </c>
      <c r="J15" s="102">
        <f>J16</f>
        <v>0</v>
      </c>
      <c r="K15" s="102">
        <f>K16</f>
        <v>0</v>
      </c>
      <c r="L15" s="103">
        <f t="shared" si="0"/>
        <v>240000</v>
      </c>
      <c r="M15" s="105"/>
      <c r="N15" s="102"/>
      <c r="O15" s="102"/>
      <c r="P15" s="102">
        <f>P16</f>
        <v>0</v>
      </c>
      <c r="Q15" s="102">
        <f>Q16</f>
        <v>0</v>
      </c>
      <c r="R15" s="102">
        <f>R16</f>
        <v>0</v>
      </c>
      <c r="S15" s="102">
        <f>S16</f>
        <v>0</v>
      </c>
      <c r="T15" s="103">
        <f t="shared" si="1"/>
        <v>0</v>
      </c>
      <c r="U15" s="105"/>
      <c r="V15" s="102"/>
      <c r="W15" s="102"/>
      <c r="X15" s="102">
        <f>X16</f>
        <v>0</v>
      </c>
      <c r="Y15" s="102">
        <f>Y16</f>
        <v>0</v>
      </c>
      <c r="Z15" s="102">
        <f>Z16</f>
        <v>0</v>
      </c>
      <c r="AA15" s="102">
        <f>AA16</f>
        <v>0</v>
      </c>
      <c r="AB15" s="103">
        <f t="shared" si="2"/>
        <v>0</v>
      </c>
      <c r="AC15" s="105"/>
      <c r="AD15" s="102">
        <f t="shared" si="3"/>
        <v>0</v>
      </c>
      <c r="AE15" s="102" t="str">
        <f t="shared" si="4"/>
        <v/>
      </c>
      <c r="AF15" s="102">
        <f t="shared" si="5"/>
        <v>0</v>
      </c>
      <c r="AG15" s="102">
        <f t="shared" si="6"/>
        <v>0</v>
      </c>
      <c r="AH15" s="102">
        <f t="shared" si="7"/>
        <v>0</v>
      </c>
      <c r="AI15" s="102">
        <f t="shared" si="8"/>
        <v>0</v>
      </c>
      <c r="AJ15" s="103">
        <f t="shared" si="9"/>
        <v>0</v>
      </c>
      <c r="AK15" s="105"/>
      <c r="AL15" s="102"/>
    </row>
    <row r="16" spans="2:38" ht="20.100000000000001" customHeight="1" outlineLevel="1" x14ac:dyDescent="0.3">
      <c r="B16" s="109" t="s">
        <v>512</v>
      </c>
      <c r="C16" s="109" t="s">
        <v>280</v>
      </c>
      <c r="D16" s="109" t="s">
        <v>499</v>
      </c>
      <c r="E16" s="105"/>
      <c r="F16" s="68">
        <v>0</v>
      </c>
      <c r="G16" s="68"/>
      <c r="H16" s="68"/>
      <c r="I16" s="68">
        <v>240000</v>
      </c>
      <c r="J16" s="68"/>
      <c r="K16" s="68"/>
      <c r="L16" s="103">
        <f t="shared" si="0"/>
        <v>240000</v>
      </c>
      <c r="M16" s="105"/>
      <c r="N16" s="68"/>
      <c r="O16" s="68"/>
      <c r="P16" s="68"/>
      <c r="Q16" s="68"/>
      <c r="R16" s="68"/>
      <c r="S16" s="68"/>
      <c r="T16" s="103">
        <f t="shared" si="1"/>
        <v>0</v>
      </c>
      <c r="U16" s="105"/>
      <c r="V16" s="68"/>
      <c r="W16" s="68"/>
      <c r="X16" s="68"/>
      <c r="Y16" s="68"/>
      <c r="Z16" s="68"/>
      <c r="AA16" s="68"/>
      <c r="AB16" s="103">
        <f t="shared" si="2"/>
        <v>0</v>
      </c>
      <c r="AC16" s="105"/>
      <c r="AD16" s="68">
        <f t="shared" si="3"/>
        <v>0</v>
      </c>
      <c r="AE16" s="68" t="str">
        <f t="shared" si="4"/>
        <v/>
      </c>
      <c r="AF16" s="68">
        <f t="shared" si="5"/>
        <v>0</v>
      </c>
      <c r="AG16" s="68">
        <f t="shared" si="6"/>
        <v>0</v>
      </c>
      <c r="AH16" s="68">
        <f t="shared" si="7"/>
        <v>0</v>
      </c>
      <c r="AI16" s="68">
        <f t="shared" si="8"/>
        <v>0</v>
      </c>
      <c r="AJ16" s="103">
        <f t="shared" si="9"/>
        <v>0</v>
      </c>
      <c r="AK16" s="105"/>
      <c r="AL16" s="68"/>
    </row>
    <row r="17" spans="2:38" ht="20.100000000000001" customHeight="1" outlineLevel="1" x14ac:dyDescent="0.3">
      <c r="B17" s="107" t="s">
        <v>568</v>
      </c>
      <c r="C17" s="107" t="s">
        <v>140</v>
      </c>
      <c r="D17" s="107" t="s">
        <v>569</v>
      </c>
      <c r="E17" s="105"/>
      <c r="F17" s="102"/>
      <c r="G17" s="102"/>
      <c r="H17" s="102">
        <f>SUM(H18,H19,H20,H21)</f>
        <v>7185720</v>
      </c>
      <c r="I17" s="102">
        <f>SUM(I18,I19,I20,I21)</f>
        <v>0</v>
      </c>
      <c r="J17" s="102">
        <f>SUM(J18,J19,J20,J21)</f>
        <v>0</v>
      </c>
      <c r="K17" s="102">
        <f>SUM(K18,K19,K20,K21)</f>
        <v>0</v>
      </c>
      <c r="L17" s="103">
        <f t="shared" si="0"/>
        <v>7185720</v>
      </c>
      <c r="M17" s="105"/>
      <c r="N17" s="102"/>
      <c r="O17" s="102"/>
      <c r="P17" s="102">
        <f>SUM(P18,P19,P20,P21)</f>
        <v>0</v>
      </c>
      <c r="Q17" s="102">
        <f>SUM(Q18,Q19,Q20,Q21)</f>
        <v>0</v>
      </c>
      <c r="R17" s="102">
        <f>SUM(R18,R19,R20,R21)</f>
        <v>0</v>
      </c>
      <c r="S17" s="102">
        <f>SUM(S18,S19,S20,S21)</f>
        <v>0</v>
      </c>
      <c r="T17" s="103">
        <f t="shared" si="1"/>
        <v>0</v>
      </c>
      <c r="U17" s="105"/>
      <c r="V17" s="102"/>
      <c r="W17" s="102"/>
      <c r="X17" s="102">
        <f>SUM(X18,X19,X20,X21)</f>
        <v>0</v>
      </c>
      <c r="Y17" s="102">
        <f>SUM(Y18,Y19,Y20,Y21)</f>
        <v>0</v>
      </c>
      <c r="Z17" s="102">
        <f>SUM(Z18,Z19,Z20,Z21)</f>
        <v>0</v>
      </c>
      <c r="AA17" s="102">
        <f>SUM(AA18,AA19,AA20,AA21)</f>
        <v>0</v>
      </c>
      <c r="AB17" s="103">
        <f t="shared" si="2"/>
        <v>0</v>
      </c>
      <c r="AC17" s="105"/>
      <c r="AD17" s="102">
        <f t="shared" si="3"/>
        <v>0</v>
      </c>
      <c r="AE17" s="102" t="str">
        <f t="shared" si="4"/>
        <v/>
      </c>
      <c r="AF17" s="102">
        <f t="shared" si="5"/>
        <v>0</v>
      </c>
      <c r="AG17" s="102">
        <f t="shared" si="6"/>
        <v>0</v>
      </c>
      <c r="AH17" s="102">
        <f t="shared" si="7"/>
        <v>0</v>
      </c>
      <c r="AI17" s="102">
        <f t="shared" si="8"/>
        <v>0</v>
      </c>
      <c r="AJ17" s="103">
        <f t="shared" si="9"/>
        <v>0</v>
      </c>
      <c r="AK17" s="105"/>
      <c r="AL17" s="102"/>
    </row>
    <row r="18" spans="2:38" ht="20.100000000000001" customHeight="1" outlineLevel="1" x14ac:dyDescent="0.3">
      <c r="B18" s="110" t="s">
        <v>570</v>
      </c>
      <c r="C18" s="110" t="s">
        <v>141</v>
      </c>
      <c r="D18" s="110" t="s">
        <v>571</v>
      </c>
      <c r="E18" s="105"/>
      <c r="F18" s="68">
        <v>0</v>
      </c>
      <c r="G18" s="68"/>
      <c r="H18" s="68">
        <v>3193320</v>
      </c>
      <c r="I18" s="68"/>
      <c r="J18" s="68"/>
      <c r="K18" s="68"/>
      <c r="L18" s="103">
        <f t="shared" si="0"/>
        <v>3193320</v>
      </c>
      <c r="M18" s="105"/>
      <c r="N18" s="68"/>
      <c r="O18" s="68"/>
      <c r="P18" s="68"/>
      <c r="Q18" s="68"/>
      <c r="R18" s="68"/>
      <c r="S18" s="68"/>
      <c r="T18" s="103">
        <f t="shared" si="1"/>
        <v>0</v>
      </c>
      <c r="U18" s="105"/>
      <c r="V18" s="68"/>
      <c r="W18" s="68"/>
      <c r="X18" s="68"/>
      <c r="Y18" s="68"/>
      <c r="Z18" s="68"/>
      <c r="AA18" s="68"/>
      <c r="AB18" s="103">
        <f t="shared" si="2"/>
        <v>0</v>
      </c>
      <c r="AC18" s="105"/>
      <c r="AD18" s="68">
        <f t="shared" si="3"/>
        <v>0</v>
      </c>
      <c r="AE18" s="68" t="str">
        <f t="shared" si="4"/>
        <v/>
      </c>
      <c r="AF18" s="68">
        <f t="shared" si="5"/>
        <v>0</v>
      </c>
      <c r="AG18" s="68">
        <f t="shared" si="6"/>
        <v>0</v>
      </c>
      <c r="AH18" s="68">
        <f t="shared" si="7"/>
        <v>0</v>
      </c>
      <c r="AI18" s="68">
        <f t="shared" si="8"/>
        <v>0</v>
      </c>
      <c r="AJ18" s="103">
        <f t="shared" si="9"/>
        <v>0</v>
      </c>
      <c r="AK18" s="105"/>
      <c r="AL18" s="68"/>
    </row>
    <row r="19" spans="2:38" ht="20.100000000000001" customHeight="1" outlineLevel="1" x14ac:dyDescent="0.3">
      <c r="B19" s="110" t="s">
        <v>572</v>
      </c>
      <c r="C19" s="110" t="s">
        <v>142</v>
      </c>
      <c r="D19" s="110" t="s">
        <v>573</v>
      </c>
      <c r="E19" s="105"/>
      <c r="F19" s="68">
        <v>0</v>
      </c>
      <c r="G19" s="68"/>
      <c r="H19" s="68">
        <v>2634664</v>
      </c>
      <c r="I19" s="68"/>
      <c r="J19" s="68"/>
      <c r="K19" s="68"/>
      <c r="L19" s="103">
        <f t="shared" si="0"/>
        <v>2634664</v>
      </c>
      <c r="M19" s="105"/>
      <c r="N19" s="68"/>
      <c r="O19" s="68"/>
      <c r="P19" s="68"/>
      <c r="Q19" s="68"/>
      <c r="R19" s="68"/>
      <c r="S19" s="68"/>
      <c r="T19" s="103">
        <f t="shared" si="1"/>
        <v>0</v>
      </c>
      <c r="U19" s="105"/>
      <c r="V19" s="68"/>
      <c r="W19" s="68"/>
      <c r="X19" s="68"/>
      <c r="Y19" s="68"/>
      <c r="Z19" s="68"/>
      <c r="AA19" s="68"/>
      <c r="AB19" s="103">
        <f t="shared" si="2"/>
        <v>0</v>
      </c>
      <c r="AC19" s="105"/>
      <c r="AD19" s="68">
        <f t="shared" si="3"/>
        <v>0</v>
      </c>
      <c r="AE19" s="68" t="str">
        <f t="shared" si="4"/>
        <v/>
      </c>
      <c r="AF19" s="68">
        <f t="shared" si="5"/>
        <v>0</v>
      </c>
      <c r="AG19" s="68">
        <f t="shared" si="6"/>
        <v>0</v>
      </c>
      <c r="AH19" s="68">
        <f t="shared" si="7"/>
        <v>0</v>
      </c>
      <c r="AI19" s="68">
        <f t="shared" si="8"/>
        <v>0</v>
      </c>
      <c r="AJ19" s="103">
        <f t="shared" si="9"/>
        <v>0</v>
      </c>
      <c r="AK19" s="105"/>
      <c r="AL19" s="68"/>
    </row>
    <row r="20" spans="2:38" ht="20.100000000000001" customHeight="1" outlineLevel="1" x14ac:dyDescent="0.3">
      <c r="B20" s="110" t="s">
        <v>574</v>
      </c>
      <c r="C20" s="110" t="s">
        <v>143</v>
      </c>
      <c r="D20" s="110" t="s">
        <v>575</v>
      </c>
      <c r="E20" s="105"/>
      <c r="F20" s="68">
        <v>0</v>
      </c>
      <c r="G20" s="68"/>
      <c r="H20" s="68">
        <v>958196</v>
      </c>
      <c r="I20" s="68"/>
      <c r="J20" s="68"/>
      <c r="K20" s="68"/>
      <c r="L20" s="103">
        <f t="shared" si="0"/>
        <v>958196</v>
      </c>
      <c r="M20" s="105"/>
      <c r="N20" s="68"/>
      <c r="O20" s="68"/>
      <c r="P20" s="68"/>
      <c r="Q20" s="68"/>
      <c r="R20" s="68"/>
      <c r="S20" s="68"/>
      <c r="T20" s="103">
        <f t="shared" si="1"/>
        <v>0</v>
      </c>
      <c r="U20" s="105"/>
      <c r="V20" s="68"/>
      <c r="W20" s="68"/>
      <c r="X20" s="68"/>
      <c r="Y20" s="68"/>
      <c r="Z20" s="68"/>
      <c r="AA20" s="68"/>
      <c r="AB20" s="103">
        <f t="shared" si="2"/>
        <v>0</v>
      </c>
      <c r="AC20" s="105"/>
      <c r="AD20" s="68">
        <f t="shared" si="3"/>
        <v>0</v>
      </c>
      <c r="AE20" s="68" t="str">
        <f t="shared" si="4"/>
        <v/>
      </c>
      <c r="AF20" s="68">
        <f t="shared" si="5"/>
        <v>0</v>
      </c>
      <c r="AG20" s="68">
        <f t="shared" si="6"/>
        <v>0</v>
      </c>
      <c r="AH20" s="68">
        <f t="shared" si="7"/>
        <v>0</v>
      </c>
      <c r="AI20" s="68">
        <f t="shared" si="8"/>
        <v>0</v>
      </c>
      <c r="AJ20" s="103">
        <f t="shared" si="9"/>
        <v>0</v>
      </c>
      <c r="AK20" s="105"/>
      <c r="AL20" s="68"/>
    </row>
    <row r="21" spans="2:38" ht="20.100000000000001" customHeight="1" outlineLevel="1" x14ac:dyDescent="0.3">
      <c r="B21" s="110" t="s">
        <v>576</v>
      </c>
      <c r="C21" s="110" t="s">
        <v>144</v>
      </c>
      <c r="D21" s="110" t="s">
        <v>577</v>
      </c>
      <c r="E21" s="105"/>
      <c r="F21" s="68">
        <v>0</v>
      </c>
      <c r="G21" s="68"/>
      <c r="H21" s="68">
        <v>399540</v>
      </c>
      <c r="I21" s="68"/>
      <c r="J21" s="68"/>
      <c r="K21" s="68"/>
      <c r="L21" s="103">
        <f t="shared" si="0"/>
        <v>399540</v>
      </c>
      <c r="M21" s="105"/>
      <c r="N21" s="68"/>
      <c r="O21" s="68"/>
      <c r="P21" s="68"/>
      <c r="Q21" s="68"/>
      <c r="R21" s="68"/>
      <c r="S21" s="68"/>
      <c r="T21" s="103">
        <f t="shared" si="1"/>
        <v>0</v>
      </c>
      <c r="U21" s="105"/>
      <c r="V21" s="68"/>
      <c r="W21" s="68"/>
      <c r="X21" s="68"/>
      <c r="Y21" s="68"/>
      <c r="Z21" s="68"/>
      <c r="AA21" s="68"/>
      <c r="AB21" s="103">
        <f t="shared" si="2"/>
        <v>0</v>
      </c>
      <c r="AC21" s="105"/>
      <c r="AD21" s="68">
        <f t="shared" si="3"/>
        <v>0</v>
      </c>
      <c r="AE21" s="68" t="str">
        <f t="shared" si="4"/>
        <v/>
      </c>
      <c r="AF21" s="68">
        <f t="shared" si="5"/>
        <v>0</v>
      </c>
      <c r="AG21" s="68">
        <f t="shared" si="6"/>
        <v>0</v>
      </c>
      <c r="AH21" s="68">
        <f t="shared" si="7"/>
        <v>0</v>
      </c>
      <c r="AI21" s="68">
        <f t="shared" si="8"/>
        <v>0</v>
      </c>
      <c r="AJ21" s="103">
        <f t="shared" si="9"/>
        <v>0</v>
      </c>
      <c r="AK21" s="105"/>
      <c r="AL21" s="68"/>
    </row>
    <row r="22" spans="2:38" ht="20.100000000000001" customHeight="1" outlineLevel="1" x14ac:dyDescent="0.3">
      <c r="B22" s="107" t="s">
        <v>578</v>
      </c>
      <c r="C22" s="107" t="s">
        <v>145</v>
      </c>
      <c r="D22" s="107" t="s">
        <v>579</v>
      </c>
      <c r="E22" s="105"/>
      <c r="F22" s="102"/>
      <c r="G22" s="102"/>
      <c r="H22" s="102">
        <f>SUM(H23,H24)</f>
        <v>6256885.7999999998</v>
      </c>
      <c r="I22" s="102">
        <f>SUM(I23,I24)</f>
        <v>0</v>
      </c>
      <c r="J22" s="102">
        <f>SUM(J23,J24)</f>
        <v>0</v>
      </c>
      <c r="K22" s="102">
        <f>SUM(K23,K24)</f>
        <v>0</v>
      </c>
      <c r="L22" s="103">
        <f t="shared" si="0"/>
        <v>6256885.7999999998</v>
      </c>
      <c r="M22" s="105"/>
      <c r="N22" s="102"/>
      <c r="O22" s="102"/>
      <c r="P22" s="102">
        <f>SUM(P23,P24)</f>
        <v>0</v>
      </c>
      <c r="Q22" s="102">
        <f>SUM(Q23,Q24)</f>
        <v>0</v>
      </c>
      <c r="R22" s="102">
        <f>SUM(R23,R24)</f>
        <v>0</v>
      </c>
      <c r="S22" s="102">
        <f>SUM(S23,S24)</f>
        <v>0</v>
      </c>
      <c r="T22" s="103">
        <f t="shared" si="1"/>
        <v>0</v>
      </c>
      <c r="U22" s="105"/>
      <c r="V22" s="102"/>
      <c r="W22" s="102"/>
      <c r="X22" s="102">
        <f>SUM(X23,X24)</f>
        <v>0</v>
      </c>
      <c r="Y22" s="102">
        <f>SUM(Y23,Y24)</f>
        <v>0</v>
      </c>
      <c r="Z22" s="102">
        <f>SUM(Z23,Z24)</f>
        <v>0</v>
      </c>
      <c r="AA22" s="102">
        <f>SUM(AA23,AA24)</f>
        <v>0</v>
      </c>
      <c r="AB22" s="103">
        <f t="shared" si="2"/>
        <v>0</v>
      </c>
      <c r="AC22" s="105"/>
      <c r="AD22" s="102">
        <f t="shared" si="3"/>
        <v>0</v>
      </c>
      <c r="AE22" s="102" t="str">
        <f t="shared" si="4"/>
        <v/>
      </c>
      <c r="AF22" s="102">
        <f t="shared" si="5"/>
        <v>0</v>
      </c>
      <c r="AG22" s="102">
        <f t="shared" si="6"/>
        <v>0</v>
      </c>
      <c r="AH22" s="102">
        <f t="shared" si="7"/>
        <v>0</v>
      </c>
      <c r="AI22" s="102">
        <f t="shared" si="8"/>
        <v>0</v>
      </c>
      <c r="AJ22" s="103">
        <f t="shared" si="9"/>
        <v>0</v>
      </c>
      <c r="AK22" s="105"/>
      <c r="AL22" s="102"/>
    </row>
    <row r="23" spans="2:38" ht="20.100000000000001" customHeight="1" outlineLevel="1" x14ac:dyDescent="0.3">
      <c r="B23" s="110" t="s">
        <v>580</v>
      </c>
      <c r="C23" s="110" t="s">
        <v>146</v>
      </c>
      <c r="D23" s="110" t="s">
        <v>581</v>
      </c>
      <c r="E23" s="105"/>
      <c r="F23" s="68">
        <v>0</v>
      </c>
      <c r="G23" s="68"/>
      <c r="H23" s="68">
        <v>120000</v>
      </c>
      <c r="I23" s="68"/>
      <c r="J23" s="68"/>
      <c r="K23" s="68"/>
      <c r="L23" s="103">
        <f t="shared" si="0"/>
        <v>120000</v>
      </c>
      <c r="M23" s="105"/>
      <c r="N23" s="68"/>
      <c r="O23" s="68"/>
      <c r="P23" s="68"/>
      <c r="Q23" s="68"/>
      <c r="R23" s="68"/>
      <c r="S23" s="68"/>
      <c r="T23" s="103">
        <f t="shared" si="1"/>
        <v>0</v>
      </c>
      <c r="U23" s="105"/>
      <c r="V23" s="68"/>
      <c r="W23" s="68"/>
      <c r="X23" s="68"/>
      <c r="Y23" s="68"/>
      <c r="Z23" s="68"/>
      <c r="AA23" s="68"/>
      <c r="AB23" s="103">
        <f t="shared" si="2"/>
        <v>0</v>
      </c>
      <c r="AC23" s="105"/>
      <c r="AD23" s="68">
        <f t="shared" si="3"/>
        <v>0</v>
      </c>
      <c r="AE23" s="68" t="str">
        <f t="shared" si="4"/>
        <v/>
      </c>
      <c r="AF23" s="68">
        <f t="shared" si="5"/>
        <v>0</v>
      </c>
      <c r="AG23" s="68">
        <f t="shared" si="6"/>
        <v>0</v>
      </c>
      <c r="AH23" s="68">
        <f t="shared" si="7"/>
        <v>0</v>
      </c>
      <c r="AI23" s="68">
        <f t="shared" si="8"/>
        <v>0</v>
      </c>
      <c r="AJ23" s="103">
        <f t="shared" si="9"/>
        <v>0</v>
      </c>
      <c r="AK23" s="105"/>
      <c r="AL23" s="68"/>
    </row>
    <row r="24" spans="2:38" ht="20.100000000000001" customHeight="1" outlineLevel="1" x14ac:dyDescent="0.3">
      <c r="B24" s="110" t="s">
        <v>582</v>
      </c>
      <c r="C24" s="110" t="s">
        <v>583</v>
      </c>
      <c r="D24" s="110" t="s">
        <v>584</v>
      </c>
      <c r="E24" s="105"/>
      <c r="F24" s="68">
        <v>0</v>
      </c>
      <c r="G24" s="68"/>
      <c r="H24" s="68">
        <v>6136885.7999999998</v>
      </c>
      <c r="I24" s="68"/>
      <c r="J24" s="68"/>
      <c r="K24" s="68"/>
      <c r="L24" s="103">
        <f t="shared" si="0"/>
        <v>6136885.7999999998</v>
      </c>
      <c r="M24" s="105"/>
      <c r="N24" s="68"/>
      <c r="O24" s="68"/>
      <c r="P24" s="68"/>
      <c r="Q24" s="68"/>
      <c r="R24" s="68"/>
      <c r="S24" s="68"/>
      <c r="T24" s="103">
        <f t="shared" si="1"/>
        <v>0</v>
      </c>
      <c r="U24" s="105"/>
      <c r="V24" s="68"/>
      <c r="W24" s="68"/>
      <c r="X24" s="68"/>
      <c r="Y24" s="68"/>
      <c r="Z24" s="68"/>
      <c r="AA24" s="68"/>
      <c r="AB24" s="103">
        <f t="shared" si="2"/>
        <v>0</v>
      </c>
      <c r="AC24" s="105"/>
      <c r="AD24" s="68">
        <f t="shared" si="3"/>
        <v>0</v>
      </c>
      <c r="AE24" s="68" t="str">
        <f t="shared" si="4"/>
        <v/>
      </c>
      <c r="AF24" s="68">
        <f t="shared" si="5"/>
        <v>0</v>
      </c>
      <c r="AG24" s="68">
        <f t="shared" si="6"/>
        <v>0</v>
      </c>
      <c r="AH24" s="68">
        <f t="shared" si="7"/>
        <v>0</v>
      </c>
      <c r="AI24" s="68">
        <f t="shared" si="8"/>
        <v>0</v>
      </c>
      <c r="AJ24" s="103">
        <f t="shared" si="9"/>
        <v>0</v>
      </c>
      <c r="AK24" s="105"/>
      <c r="AL24" s="68"/>
    </row>
    <row r="25" spans="2:38" ht="20.100000000000001" customHeight="1" outlineLevel="1" x14ac:dyDescent="0.3">
      <c r="B25" s="107" t="s">
        <v>470</v>
      </c>
      <c r="C25" s="107" t="s">
        <v>149</v>
      </c>
      <c r="D25" s="107" t="s">
        <v>471</v>
      </c>
      <c r="E25" s="105"/>
      <c r="F25" s="102"/>
      <c r="G25" s="102"/>
      <c r="H25" s="102">
        <f>SUM(H26,H29,H32,H34,H35)</f>
        <v>7416712</v>
      </c>
      <c r="I25" s="102">
        <f>SUM(I26,I29,I32,I34,I35)</f>
        <v>0</v>
      </c>
      <c r="J25" s="102">
        <f>SUM(J26,J29,J32,J34,J35)</f>
        <v>0</v>
      </c>
      <c r="K25" s="102">
        <f>SUM(K26,K29,K32,K34,K35)</f>
        <v>0</v>
      </c>
      <c r="L25" s="103">
        <f t="shared" si="0"/>
        <v>7416712</v>
      </c>
      <c r="M25" s="105"/>
      <c r="N25" s="102"/>
      <c r="O25" s="102"/>
      <c r="P25" s="102">
        <f>SUM(P26,P29,P32,P34,P35)</f>
        <v>24892</v>
      </c>
      <c r="Q25" s="102">
        <f>SUM(Q26,Q29,Q32,Q34,Q35)</f>
        <v>0</v>
      </c>
      <c r="R25" s="102">
        <f>SUM(R26,R29,R32,R34,R35)</f>
        <v>92400</v>
      </c>
      <c r="S25" s="102">
        <f>SUM(S26,S29,S32,S34,S35)</f>
        <v>50000</v>
      </c>
      <c r="T25" s="103">
        <f t="shared" si="1"/>
        <v>167292</v>
      </c>
      <c r="U25" s="105"/>
      <c r="V25" s="102"/>
      <c r="W25" s="102"/>
      <c r="X25" s="102">
        <f>SUM(X26,X29,X32,X34,X35)</f>
        <v>0</v>
      </c>
      <c r="Y25" s="102">
        <f>SUM(Y26,Y29,Y32,Y34,Y35)</f>
        <v>0</v>
      </c>
      <c r="Z25" s="102">
        <f>SUM(Z26,Z29,Z32,Z34,Z35)</f>
        <v>0</v>
      </c>
      <c r="AA25" s="102">
        <f>SUM(AA26,AA29,AA32,AA34,AA35)</f>
        <v>0</v>
      </c>
      <c r="AB25" s="103">
        <f t="shared" si="2"/>
        <v>0</v>
      </c>
      <c r="AC25" s="105"/>
      <c r="AD25" s="102">
        <f t="shared" si="3"/>
        <v>0</v>
      </c>
      <c r="AE25" s="102" t="str">
        <f t="shared" si="4"/>
        <v/>
      </c>
      <c r="AF25" s="102">
        <f t="shared" si="5"/>
        <v>24892</v>
      </c>
      <c r="AG25" s="102">
        <f t="shared" si="6"/>
        <v>0</v>
      </c>
      <c r="AH25" s="102">
        <f t="shared" si="7"/>
        <v>92400</v>
      </c>
      <c r="AI25" s="102">
        <f t="shared" si="8"/>
        <v>50000</v>
      </c>
      <c r="AJ25" s="103">
        <f t="shared" si="9"/>
        <v>167292</v>
      </c>
      <c r="AK25" s="105"/>
      <c r="AL25" s="102"/>
    </row>
    <row r="26" spans="2:38" ht="20.100000000000001" customHeight="1" outlineLevel="1" x14ac:dyDescent="0.3">
      <c r="B26" s="108" t="s">
        <v>585</v>
      </c>
      <c r="C26" s="108" t="s">
        <v>150</v>
      </c>
      <c r="D26" s="108" t="s">
        <v>586</v>
      </c>
      <c r="E26" s="105"/>
      <c r="F26" s="102"/>
      <c r="G26" s="102"/>
      <c r="H26" s="102">
        <f>SUM(H27,H28)</f>
        <v>2814156</v>
      </c>
      <c r="I26" s="102">
        <f>SUM(I27,I28)</f>
        <v>0</v>
      </c>
      <c r="J26" s="102">
        <f>SUM(J27,J28)</f>
        <v>0</v>
      </c>
      <c r="K26" s="102">
        <f>SUM(K27,K28)</f>
        <v>0</v>
      </c>
      <c r="L26" s="103">
        <f t="shared" si="0"/>
        <v>2814156</v>
      </c>
      <c r="M26" s="105"/>
      <c r="N26" s="102"/>
      <c r="O26" s="102"/>
      <c r="P26" s="102">
        <f>SUM(P27,P28)</f>
        <v>19092</v>
      </c>
      <c r="Q26" s="102">
        <f>SUM(Q27,Q28)</f>
        <v>0</v>
      </c>
      <c r="R26" s="102">
        <f>SUM(R27,R28)</f>
        <v>8400</v>
      </c>
      <c r="S26" s="102">
        <f>SUM(S27,S28)</f>
        <v>50000</v>
      </c>
      <c r="T26" s="103">
        <f t="shared" si="1"/>
        <v>77492</v>
      </c>
      <c r="U26" s="105"/>
      <c r="V26" s="102"/>
      <c r="W26" s="102"/>
      <c r="X26" s="102">
        <f>SUM(X27,X28)</f>
        <v>0</v>
      </c>
      <c r="Y26" s="102">
        <f>SUM(Y27,Y28)</f>
        <v>0</v>
      </c>
      <c r="Z26" s="102">
        <f>SUM(Z27,Z28)</f>
        <v>0</v>
      </c>
      <c r="AA26" s="102">
        <f>SUM(AA27,AA28)</f>
        <v>0</v>
      </c>
      <c r="AB26" s="103">
        <f t="shared" si="2"/>
        <v>0</v>
      </c>
      <c r="AC26" s="105"/>
      <c r="AD26" s="102">
        <f t="shared" si="3"/>
        <v>0</v>
      </c>
      <c r="AE26" s="102" t="str">
        <f t="shared" si="4"/>
        <v/>
      </c>
      <c r="AF26" s="102">
        <f t="shared" si="5"/>
        <v>19092</v>
      </c>
      <c r="AG26" s="102">
        <f t="shared" si="6"/>
        <v>0</v>
      </c>
      <c r="AH26" s="102">
        <f t="shared" si="7"/>
        <v>8400</v>
      </c>
      <c r="AI26" s="102">
        <f t="shared" si="8"/>
        <v>50000</v>
      </c>
      <c r="AJ26" s="103">
        <f t="shared" si="9"/>
        <v>77492</v>
      </c>
      <c r="AK26" s="105"/>
      <c r="AL26" s="102"/>
    </row>
    <row r="27" spans="2:38" ht="20.100000000000001" customHeight="1" outlineLevel="1" x14ac:dyDescent="0.3">
      <c r="B27" s="109" t="s">
        <v>587</v>
      </c>
      <c r="C27" s="109" t="s">
        <v>151</v>
      </c>
      <c r="D27" s="109" t="s">
        <v>588</v>
      </c>
      <c r="E27" s="105"/>
      <c r="F27" s="68">
        <v>0</v>
      </c>
      <c r="G27" s="68"/>
      <c r="H27" s="68">
        <v>1014156</v>
      </c>
      <c r="I27" s="68"/>
      <c r="J27" s="68"/>
      <c r="K27" s="68"/>
      <c r="L27" s="103">
        <f t="shared" si="0"/>
        <v>1014156</v>
      </c>
      <c r="M27" s="105"/>
      <c r="N27" s="68">
        <v>1</v>
      </c>
      <c r="O27" s="68" t="s">
        <v>547</v>
      </c>
      <c r="P27" s="68">
        <v>0</v>
      </c>
      <c r="Q27" s="68">
        <v>0</v>
      </c>
      <c r="R27" s="68">
        <v>0</v>
      </c>
      <c r="S27" s="68">
        <v>50000</v>
      </c>
      <c r="T27" s="103">
        <f t="shared" si="1"/>
        <v>50000</v>
      </c>
      <c r="U27" s="105"/>
      <c r="V27" s="68"/>
      <c r="W27" s="68"/>
      <c r="X27" s="68"/>
      <c r="Y27" s="68"/>
      <c r="Z27" s="68"/>
      <c r="AA27" s="68"/>
      <c r="AB27" s="103">
        <f t="shared" si="2"/>
        <v>0</v>
      </c>
      <c r="AC27" s="105"/>
      <c r="AD27" s="68">
        <f t="shared" si="3"/>
        <v>1</v>
      </c>
      <c r="AE27" s="68" t="str">
        <f t="shared" si="4"/>
        <v/>
      </c>
      <c r="AF27" s="68">
        <f t="shared" si="5"/>
        <v>0</v>
      </c>
      <c r="AG27" s="68">
        <f t="shared" si="6"/>
        <v>0</v>
      </c>
      <c r="AH27" s="68">
        <f t="shared" si="7"/>
        <v>0</v>
      </c>
      <c r="AI27" s="68">
        <f t="shared" si="8"/>
        <v>50000</v>
      </c>
      <c r="AJ27" s="103">
        <f t="shared" si="9"/>
        <v>50000</v>
      </c>
      <c r="AK27" s="105"/>
      <c r="AL27" s="68"/>
    </row>
    <row r="28" spans="2:38" ht="20.100000000000001" customHeight="1" outlineLevel="1" x14ac:dyDescent="0.3">
      <c r="B28" s="109" t="s">
        <v>589</v>
      </c>
      <c r="C28" s="109" t="s">
        <v>152</v>
      </c>
      <c r="D28" s="109" t="s">
        <v>590</v>
      </c>
      <c r="E28" s="105"/>
      <c r="F28" s="68">
        <v>0</v>
      </c>
      <c r="G28" s="68"/>
      <c r="H28" s="68">
        <v>1800000</v>
      </c>
      <c r="I28" s="68"/>
      <c r="J28" s="68"/>
      <c r="K28" s="68"/>
      <c r="L28" s="103">
        <f t="shared" si="0"/>
        <v>1800000</v>
      </c>
      <c r="M28" s="105"/>
      <c r="N28" s="68">
        <v>31</v>
      </c>
      <c r="O28" s="68" t="s">
        <v>548</v>
      </c>
      <c r="P28" s="68">
        <v>19092</v>
      </c>
      <c r="Q28" s="68">
        <v>0</v>
      </c>
      <c r="R28" s="68">
        <v>8400</v>
      </c>
      <c r="S28" s="68">
        <v>0</v>
      </c>
      <c r="T28" s="103">
        <f t="shared" si="1"/>
        <v>27492</v>
      </c>
      <c r="U28" s="105"/>
      <c r="V28" s="68"/>
      <c r="W28" s="68"/>
      <c r="X28" s="68"/>
      <c r="Y28" s="68"/>
      <c r="Z28" s="68"/>
      <c r="AA28" s="68"/>
      <c r="AB28" s="103">
        <f t="shared" si="2"/>
        <v>0</v>
      </c>
      <c r="AC28" s="105"/>
      <c r="AD28" s="68">
        <f t="shared" si="3"/>
        <v>31</v>
      </c>
      <c r="AE28" s="68" t="str">
        <f t="shared" si="4"/>
        <v/>
      </c>
      <c r="AF28" s="68">
        <f t="shared" si="5"/>
        <v>19092</v>
      </c>
      <c r="AG28" s="68">
        <f t="shared" si="6"/>
        <v>0</v>
      </c>
      <c r="AH28" s="68">
        <f t="shared" si="7"/>
        <v>8400</v>
      </c>
      <c r="AI28" s="68">
        <f t="shared" si="8"/>
        <v>0</v>
      </c>
      <c r="AJ28" s="103">
        <f t="shared" si="9"/>
        <v>27492</v>
      </c>
      <c r="AK28" s="105"/>
      <c r="AL28" s="68"/>
    </row>
    <row r="29" spans="2:38" ht="20.100000000000001" customHeight="1" outlineLevel="1" x14ac:dyDescent="0.3">
      <c r="B29" s="108" t="s">
        <v>513</v>
      </c>
      <c r="C29" s="108" t="s">
        <v>154</v>
      </c>
      <c r="D29" s="108" t="s">
        <v>514</v>
      </c>
      <c r="E29" s="105"/>
      <c r="F29" s="102"/>
      <c r="G29" s="102"/>
      <c r="H29" s="102">
        <f>SUM(H30,H31)</f>
        <v>4135356</v>
      </c>
      <c r="I29" s="102">
        <f>SUM(I30,I31)</f>
        <v>0</v>
      </c>
      <c r="J29" s="102">
        <f>SUM(J30,J31)</f>
        <v>0</v>
      </c>
      <c r="K29" s="102">
        <f>SUM(K30,K31)</f>
        <v>0</v>
      </c>
      <c r="L29" s="103">
        <f t="shared" si="0"/>
        <v>4135356</v>
      </c>
      <c r="M29" s="105"/>
      <c r="N29" s="102"/>
      <c r="O29" s="102"/>
      <c r="P29" s="102">
        <f>SUM(P30,P31)</f>
        <v>0</v>
      </c>
      <c r="Q29" s="102">
        <f>SUM(Q30,Q31)</f>
        <v>0</v>
      </c>
      <c r="R29" s="102">
        <f>SUM(R30,R31)</f>
        <v>0</v>
      </c>
      <c r="S29" s="102">
        <f>SUM(S30,S31)</f>
        <v>0</v>
      </c>
      <c r="T29" s="103">
        <f t="shared" si="1"/>
        <v>0</v>
      </c>
      <c r="U29" s="105"/>
      <c r="V29" s="102"/>
      <c r="W29" s="102"/>
      <c r="X29" s="102">
        <f>SUM(X30,X31)</f>
        <v>0</v>
      </c>
      <c r="Y29" s="102">
        <f>SUM(Y30,Y31)</f>
        <v>0</v>
      </c>
      <c r="Z29" s="102">
        <f>SUM(Z30,Z31)</f>
        <v>0</v>
      </c>
      <c r="AA29" s="102">
        <f>SUM(AA30,AA31)</f>
        <v>0</v>
      </c>
      <c r="AB29" s="103">
        <f t="shared" si="2"/>
        <v>0</v>
      </c>
      <c r="AC29" s="105"/>
      <c r="AD29" s="102">
        <f t="shared" si="3"/>
        <v>0</v>
      </c>
      <c r="AE29" s="102" t="str">
        <f t="shared" si="4"/>
        <v/>
      </c>
      <c r="AF29" s="102">
        <f t="shared" si="5"/>
        <v>0</v>
      </c>
      <c r="AG29" s="102">
        <f t="shared" si="6"/>
        <v>0</v>
      </c>
      <c r="AH29" s="102">
        <f t="shared" si="7"/>
        <v>0</v>
      </c>
      <c r="AI29" s="102">
        <f t="shared" si="8"/>
        <v>0</v>
      </c>
      <c r="AJ29" s="103">
        <f t="shared" si="9"/>
        <v>0</v>
      </c>
      <c r="AK29" s="105"/>
      <c r="AL29" s="102"/>
    </row>
    <row r="30" spans="2:38" ht="20.100000000000001" customHeight="1" outlineLevel="1" x14ac:dyDescent="0.3">
      <c r="B30" s="109" t="s">
        <v>515</v>
      </c>
      <c r="C30" s="109" t="s">
        <v>155</v>
      </c>
      <c r="D30" s="109" t="s">
        <v>516</v>
      </c>
      <c r="E30" s="105"/>
      <c r="F30" s="68">
        <v>0</v>
      </c>
      <c r="G30" s="68"/>
      <c r="H30" s="68">
        <v>360000</v>
      </c>
      <c r="I30" s="68"/>
      <c r="J30" s="68"/>
      <c r="K30" s="68"/>
      <c r="L30" s="103">
        <f t="shared" si="0"/>
        <v>360000</v>
      </c>
      <c r="M30" s="105"/>
      <c r="N30" s="68"/>
      <c r="O30" s="68"/>
      <c r="P30" s="68"/>
      <c r="Q30" s="68"/>
      <c r="R30" s="68"/>
      <c r="S30" s="68"/>
      <c r="T30" s="103">
        <f t="shared" si="1"/>
        <v>0</v>
      </c>
      <c r="U30" s="105"/>
      <c r="V30" s="68"/>
      <c r="W30" s="68"/>
      <c r="X30" s="68"/>
      <c r="Y30" s="68"/>
      <c r="Z30" s="68"/>
      <c r="AA30" s="68"/>
      <c r="AB30" s="103">
        <f t="shared" si="2"/>
        <v>0</v>
      </c>
      <c r="AC30" s="105"/>
      <c r="AD30" s="68">
        <f t="shared" si="3"/>
        <v>0</v>
      </c>
      <c r="AE30" s="68" t="str">
        <f t="shared" si="4"/>
        <v/>
      </c>
      <c r="AF30" s="68">
        <f t="shared" si="5"/>
        <v>0</v>
      </c>
      <c r="AG30" s="68">
        <f t="shared" si="6"/>
        <v>0</v>
      </c>
      <c r="AH30" s="68">
        <f t="shared" si="7"/>
        <v>0</v>
      </c>
      <c r="AI30" s="68">
        <f t="shared" si="8"/>
        <v>0</v>
      </c>
      <c r="AJ30" s="103">
        <f t="shared" si="9"/>
        <v>0</v>
      </c>
      <c r="AK30" s="105"/>
      <c r="AL30" s="68"/>
    </row>
    <row r="31" spans="2:38" ht="20.100000000000001" customHeight="1" outlineLevel="1" x14ac:dyDescent="0.3">
      <c r="B31" s="109" t="s">
        <v>591</v>
      </c>
      <c r="C31" s="109" t="s">
        <v>592</v>
      </c>
      <c r="D31" s="109" t="s">
        <v>593</v>
      </c>
      <c r="E31" s="105"/>
      <c r="F31" s="68">
        <v>0</v>
      </c>
      <c r="G31" s="68"/>
      <c r="H31" s="68">
        <v>3775356</v>
      </c>
      <c r="I31" s="68"/>
      <c r="J31" s="68"/>
      <c r="K31" s="68"/>
      <c r="L31" s="103">
        <f t="shared" si="0"/>
        <v>3775356</v>
      </c>
      <c r="M31" s="105"/>
      <c r="N31" s="68"/>
      <c r="O31" s="68"/>
      <c r="P31" s="68"/>
      <c r="Q31" s="68"/>
      <c r="R31" s="68"/>
      <c r="S31" s="68"/>
      <c r="T31" s="103">
        <f t="shared" si="1"/>
        <v>0</v>
      </c>
      <c r="U31" s="105"/>
      <c r="V31" s="68"/>
      <c r="W31" s="68"/>
      <c r="X31" s="68"/>
      <c r="Y31" s="68"/>
      <c r="Z31" s="68"/>
      <c r="AA31" s="68"/>
      <c r="AB31" s="103">
        <f t="shared" si="2"/>
        <v>0</v>
      </c>
      <c r="AC31" s="105"/>
      <c r="AD31" s="68">
        <f t="shared" si="3"/>
        <v>0</v>
      </c>
      <c r="AE31" s="68" t="str">
        <f t="shared" si="4"/>
        <v/>
      </c>
      <c r="AF31" s="68">
        <f t="shared" si="5"/>
        <v>0</v>
      </c>
      <c r="AG31" s="68">
        <f t="shared" si="6"/>
        <v>0</v>
      </c>
      <c r="AH31" s="68">
        <f t="shared" si="7"/>
        <v>0</v>
      </c>
      <c r="AI31" s="68">
        <f t="shared" si="8"/>
        <v>0</v>
      </c>
      <c r="AJ31" s="103">
        <f t="shared" si="9"/>
        <v>0</v>
      </c>
      <c r="AK31" s="105"/>
      <c r="AL31" s="68"/>
    </row>
    <row r="32" spans="2:38" ht="20.100000000000001" customHeight="1" outlineLevel="1" x14ac:dyDescent="0.3">
      <c r="B32" s="108" t="s">
        <v>472</v>
      </c>
      <c r="C32" s="108" t="s">
        <v>159</v>
      </c>
      <c r="D32" s="108" t="s">
        <v>473</v>
      </c>
      <c r="E32" s="105"/>
      <c r="F32" s="102"/>
      <c r="G32" s="102"/>
      <c r="H32" s="102">
        <f>H33</f>
        <v>160000</v>
      </c>
      <c r="I32" s="102">
        <f>I33</f>
        <v>0</v>
      </c>
      <c r="J32" s="102">
        <f>J33</f>
        <v>0</v>
      </c>
      <c r="K32" s="102">
        <f>K33</f>
        <v>0</v>
      </c>
      <c r="L32" s="103">
        <f t="shared" si="0"/>
        <v>160000</v>
      </c>
      <c r="M32" s="105"/>
      <c r="N32" s="102"/>
      <c r="O32" s="102"/>
      <c r="P32" s="102">
        <f>P33</f>
        <v>5800</v>
      </c>
      <c r="Q32" s="102">
        <f>Q33</f>
        <v>0</v>
      </c>
      <c r="R32" s="102">
        <f>R33</f>
        <v>84000</v>
      </c>
      <c r="S32" s="102">
        <f>S33</f>
        <v>0</v>
      </c>
      <c r="T32" s="103">
        <f t="shared" si="1"/>
        <v>89800</v>
      </c>
      <c r="U32" s="105"/>
      <c r="V32" s="102"/>
      <c r="W32" s="102"/>
      <c r="X32" s="102">
        <f>X33</f>
        <v>0</v>
      </c>
      <c r="Y32" s="102">
        <f>Y33</f>
        <v>0</v>
      </c>
      <c r="Z32" s="102">
        <f>Z33</f>
        <v>0</v>
      </c>
      <c r="AA32" s="102">
        <f>AA33</f>
        <v>0</v>
      </c>
      <c r="AB32" s="103">
        <f t="shared" si="2"/>
        <v>0</v>
      </c>
      <c r="AC32" s="105"/>
      <c r="AD32" s="102">
        <f t="shared" si="3"/>
        <v>0</v>
      </c>
      <c r="AE32" s="102" t="str">
        <f t="shared" si="4"/>
        <v/>
      </c>
      <c r="AF32" s="102">
        <f t="shared" si="5"/>
        <v>5800</v>
      </c>
      <c r="AG32" s="102">
        <f t="shared" si="6"/>
        <v>0</v>
      </c>
      <c r="AH32" s="102">
        <f t="shared" si="7"/>
        <v>84000</v>
      </c>
      <c r="AI32" s="102">
        <f t="shared" si="8"/>
        <v>0</v>
      </c>
      <c r="AJ32" s="103">
        <f t="shared" si="9"/>
        <v>89800</v>
      </c>
      <c r="AK32" s="105"/>
      <c r="AL32" s="102"/>
    </row>
    <row r="33" spans="2:38" ht="20.100000000000001" customHeight="1" outlineLevel="1" x14ac:dyDescent="0.3">
      <c r="B33" s="109" t="s">
        <v>474</v>
      </c>
      <c r="C33" s="109" t="s">
        <v>160</v>
      </c>
      <c r="D33" s="109" t="s">
        <v>475</v>
      </c>
      <c r="E33" s="105"/>
      <c r="F33" s="68">
        <v>0</v>
      </c>
      <c r="G33" s="68"/>
      <c r="H33" s="68">
        <v>160000</v>
      </c>
      <c r="I33" s="68"/>
      <c r="J33" s="68"/>
      <c r="K33" s="68"/>
      <c r="L33" s="103">
        <f t="shared" si="0"/>
        <v>160000</v>
      </c>
      <c r="M33" s="105"/>
      <c r="N33" s="68">
        <v>4</v>
      </c>
      <c r="O33" s="68" t="s">
        <v>545</v>
      </c>
      <c r="P33" s="68">
        <v>5800</v>
      </c>
      <c r="Q33" s="68">
        <v>0</v>
      </c>
      <c r="R33" s="68">
        <v>84000</v>
      </c>
      <c r="S33" s="68">
        <v>0</v>
      </c>
      <c r="T33" s="103">
        <f t="shared" si="1"/>
        <v>89800</v>
      </c>
      <c r="U33" s="105"/>
      <c r="V33" s="68"/>
      <c r="W33" s="68"/>
      <c r="X33" s="68"/>
      <c r="Y33" s="68"/>
      <c r="Z33" s="68"/>
      <c r="AA33" s="68"/>
      <c r="AB33" s="103">
        <f t="shared" si="2"/>
        <v>0</v>
      </c>
      <c r="AC33" s="105"/>
      <c r="AD33" s="68">
        <f t="shared" si="3"/>
        <v>4</v>
      </c>
      <c r="AE33" s="68" t="str">
        <f t="shared" si="4"/>
        <v/>
      </c>
      <c r="AF33" s="68">
        <f t="shared" si="5"/>
        <v>5800</v>
      </c>
      <c r="AG33" s="68">
        <f t="shared" si="6"/>
        <v>0</v>
      </c>
      <c r="AH33" s="68">
        <f t="shared" si="7"/>
        <v>84000</v>
      </c>
      <c r="AI33" s="68">
        <f t="shared" si="8"/>
        <v>0</v>
      </c>
      <c r="AJ33" s="103">
        <f t="shared" si="9"/>
        <v>89800</v>
      </c>
      <c r="AK33" s="105"/>
      <c r="AL33" s="68"/>
    </row>
    <row r="34" spans="2:38" ht="20.100000000000001" customHeight="1" outlineLevel="1" x14ac:dyDescent="0.3">
      <c r="B34" s="110" t="s">
        <v>476</v>
      </c>
      <c r="C34" s="110" t="s">
        <v>164</v>
      </c>
      <c r="D34" s="110" t="s">
        <v>477</v>
      </c>
      <c r="E34" s="105"/>
      <c r="F34" s="68">
        <v>0</v>
      </c>
      <c r="G34" s="68"/>
      <c r="H34" s="68">
        <v>240000</v>
      </c>
      <c r="I34" s="68"/>
      <c r="J34" s="68"/>
      <c r="K34" s="68"/>
      <c r="L34" s="103">
        <f t="shared" si="0"/>
        <v>240000</v>
      </c>
      <c r="M34" s="105"/>
      <c r="N34" s="68"/>
      <c r="O34" s="68"/>
      <c r="P34" s="68"/>
      <c r="Q34" s="68"/>
      <c r="R34" s="68"/>
      <c r="S34" s="68"/>
      <c r="T34" s="103">
        <f t="shared" si="1"/>
        <v>0</v>
      </c>
      <c r="U34" s="105"/>
      <c r="V34" s="68"/>
      <c r="W34" s="68"/>
      <c r="X34" s="68"/>
      <c r="Y34" s="68"/>
      <c r="Z34" s="68"/>
      <c r="AA34" s="68"/>
      <c r="AB34" s="103">
        <f t="shared" si="2"/>
        <v>0</v>
      </c>
      <c r="AC34" s="105"/>
      <c r="AD34" s="68">
        <f t="shared" si="3"/>
        <v>0</v>
      </c>
      <c r="AE34" s="68" t="str">
        <f t="shared" si="4"/>
        <v/>
      </c>
      <c r="AF34" s="68">
        <f t="shared" si="5"/>
        <v>0</v>
      </c>
      <c r="AG34" s="68">
        <f t="shared" si="6"/>
        <v>0</v>
      </c>
      <c r="AH34" s="68">
        <f t="shared" si="7"/>
        <v>0</v>
      </c>
      <c r="AI34" s="68">
        <f t="shared" si="8"/>
        <v>0</v>
      </c>
      <c r="AJ34" s="103">
        <f t="shared" si="9"/>
        <v>0</v>
      </c>
      <c r="AK34" s="105"/>
      <c r="AL34" s="68"/>
    </row>
    <row r="35" spans="2:38" ht="20.100000000000001" customHeight="1" outlineLevel="1" x14ac:dyDescent="0.3">
      <c r="B35" s="110" t="s">
        <v>553</v>
      </c>
      <c r="C35" s="110" t="s">
        <v>554</v>
      </c>
      <c r="D35" s="110" t="s">
        <v>478</v>
      </c>
      <c r="E35" s="105"/>
      <c r="F35" s="68">
        <v>0</v>
      </c>
      <c r="G35" s="68"/>
      <c r="H35" s="68">
        <v>67200</v>
      </c>
      <c r="I35" s="68"/>
      <c r="J35" s="68"/>
      <c r="K35" s="68"/>
      <c r="L35" s="103">
        <f t="shared" si="0"/>
        <v>67200</v>
      </c>
      <c r="M35" s="105"/>
      <c r="N35" s="68"/>
      <c r="O35" s="68"/>
      <c r="P35" s="68"/>
      <c r="Q35" s="68"/>
      <c r="R35" s="68"/>
      <c r="S35" s="68"/>
      <c r="T35" s="103">
        <f t="shared" si="1"/>
        <v>0</v>
      </c>
      <c r="U35" s="105"/>
      <c r="V35" s="68"/>
      <c r="W35" s="68"/>
      <c r="X35" s="68"/>
      <c r="Y35" s="68"/>
      <c r="Z35" s="68"/>
      <c r="AA35" s="68"/>
      <c r="AB35" s="103">
        <f t="shared" si="2"/>
        <v>0</v>
      </c>
      <c r="AC35" s="105"/>
      <c r="AD35" s="68">
        <f t="shared" si="3"/>
        <v>0</v>
      </c>
      <c r="AE35" s="68" t="str">
        <f t="shared" si="4"/>
        <v/>
      </c>
      <c r="AF35" s="68">
        <f t="shared" si="5"/>
        <v>0</v>
      </c>
      <c r="AG35" s="68">
        <f t="shared" si="6"/>
        <v>0</v>
      </c>
      <c r="AH35" s="68">
        <f t="shared" si="7"/>
        <v>0</v>
      </c>
      <c r="AI35" s="68">
        <f t="shared" si="8"/>
        <v>0</v>
      </c>
      <c r="AJ35" s="103">
        <f t="shared" si="9"/>
        <v>0</v>
      </c>
      <c r="AK35" s="105"/>
      <c r="AL35" s="68"/>
    </row>
    <row r="36" spans="2:38" ht="20.100000000000001" customHeight="1" outlineLevel="1" x14ac:dyDescent="0.3">
      <c r="B36" s="107" t="s">
        <v>594</v>
      </c>
      <c r="C36" s="107" t="s">
        <v>166</v>
      </c>
      <c r="D36" s="107" t="s">
        <v>595</v>
      </c>
      <c r="E36" s="105"/>
      <c r="F36" s="102"/>
      <c r="G36" s="102"/>
      <c r="H36" s="102">
        <f>H37</f>
        <v>204000</v>
      </c>
      <c r="I36" s="102">
        <f>I37</f>
        <v>0</v>
      </c>
      <c r="J36" s="102">
        <f>J37</f>
        <v>0</v>
      </c>
      <c r="K36" s="102">
        <f>K37</f>
        <v>0</v>
      </c>
      <c r="L36" s="103">
        <f t="shared" si="0"/>
        <v>204000</v>
      </c>
      <c r="M36" s="105"/>
      <c r="N36" s="102"/>
      <c r="O36" s="102"/>
      <c r="P36" s="102">
        <f>P37</f>
        <v>0</v>
      </c>
      <c r="Q36" s="102">
        <f>Q37</f>
        <v>0</v>
      </c>
      <c r="R36" s="102">
        <f>R37</f>
        <v>0</v>
      </c>
      <c r="S36" s="102">
        <f>S37</f>
        <v>0</v>
      </c>
      <c r="T36" s="103">
        <f t="shared" si="1"/>
        <v>0</v>
      </c>
      <c r="U36" s="105"/>
      <c r="V36" s="102"/>
      <c r="W36" s="102"/>
      <c r="X36" s="102">
        <f>X37</f>
        <v>0</v>
      </c>
      <c r="Y36" s="102">
        <f>Y37</f>
        <v>0</v>
      </c>
      <c r="Z36" s="102">
        <f>Z37</f>
        <v>0</v>
      </c>
      <c r="AA36" s="102">
        <f>AA37</f>
        <v>0</v>
      </c>
      <c r="AB36" s="103">
        <f t="shared" si="2"/>
        <v>0</v>
      </c>
      <c r="AC36" s="105"/>
      <c r="AD36" s="102">
        <f t="shared" si="3"/>
        <v>0</v>
      </c>
      <c r="AE36" s="102" t="str">
        <f t="shared" si="4"/>
        <v/>
      </c>
      <c r="AF36" s="102">
        <f t="shared" si="5"/>
        <v>0</v>
      </c>
      <c r="AG36" s="102">
        <f t="shared" si="6"/>
        <v>0</v>
      </c>
      <c r="AH36" s="102">
        <f t="shared" si="7"/>
        <v>0</v>
      </c>
      <c r="AI36" s="102">
        <f t="shared" si="8"/>
        <v>0</v>
      </c>
      <c r="AJ36" s="103">
        <f t="shared" si="9"/>
        <v>0</v>
      </c>
      <c r="AK36" s="105"/>
      <c r="AL36" s="102"/>
    </row>
    <row r="37" spans="2:38" ht="20.100000000000001" customHeight="1" outlineLevel="1" x14ac:dyDescent="0.3">
      <c r="B37" s="110" t="s">
        <v>596</v>
      </c>
      <c r="C37" s="110" t="s">
        <v>597</v>
      </c>
      <c r="D37" s="110" t="s">
        <v>514</v>
      </c>
      <c r="E37" s="105"/>
      <c r="F37" s="68">
        <v>0</v>
      </c>
      <c r="G37" s="68"/>
      <c r="H37" s="68">
        <v>204000</v>
      </c>
      <c r="I37" s="68"/>
      <c r="J37" s="68"/>
      <c r="K37" s="68"/>
      <c r="L37" s="103">
        <f t="shared" si="0"/>
        <v>204000</v>
      </c>
      <c r="M37" s="105"/>
      <c r="N37" s="68"/>
      <c r="O37" s="68"/>
      <c r="P37" s="68"/>
      <c r="Q37" s="68"/>
      <c r="R37" s="68"/>
      <c r="S37" s="68"/>
      <c r="T37" s="103">
        <f t="shared" si="1"/>
        <v>0</v>
      </c>
      <c r="U37" s="105"/>
      <c r="V37" s="68"/>
      <c r="W37" s="68"/>
      <c r="X37" s="68"/>
      <c r="Y37" s="68"/>
      <c r="Z37" s="68"/>
      <c r="AA37" s="68"/>
      <c r="AB37" s="103">
        <f t="shared" si="2"/>
        <v>0</v>
      </c>
      <c r="AC37" s="105"/>
      <c r="AD37" s="68">
        <f t="shared" si="3"/>
        <v>0</v>
      </c>
      <c r="AE37" s="68" t="str">
        <f t="shared" si="4"/>
        <v/>
      </c>
      <c r="AF37" s="68">
        <f t="shared" si="5"/>
        <v>0</v>
      </c>
      <c r="AG37" s="68">
        <f t="shared" si="6"/>
        <v>0</v>
      </c>
      <c r="AH37" s="68">
        <f t="shared" si="7"/>
        <v>0</v>
      </c>
      <c r="AI37" s="68">
        <f t="shared" si="8"/>
        <v>0</v>
      </c>
      <c r="AJ37" s="103">
        <f t="shared" si="9"/>
        <v>0</v>
      </c>
      <c r="AK37" s="105"/>
      <c r="AL37" s="68"/>
    </row>
    <row r="38" spans="2:38" ht="20.100000000000001" customHeight="1" outlineLevel="1" x14ac:dyDescent="0.3">
      <c r="B38" s="107" t="s">
        <v>479</v>
      </c>
      <c r="C38" s="107" t="s">
        <v>170</v>
      </c>
      <c r="D38" s="107" t="s">
        <v>480</v>
      </c>
      <c r="E38" s="105"/>
      <c r="F38" s="102"/>
      <c r="G38" s="102"/>
      <c r="H38" s="102">
        <f>SUM(H39,H41,H43)</f>
        <v>6778200</v>
      </c>
      <c r="I38" s="102">
        <f>SUM(I39,I41,I43)</f>
        <v>0</v>
      </c>
      <c r="J38" s="102">
        <f>SUM(J39,J41,J43)</f>
        <v>0</v>
      </c>
      <c r="K38" s="102">
        <f>SUM(K39,K41,K43)</f>
        <v>0</v>
      </c>
      <c r="L38" s="103">
        <f t="shared" si="0"/>
        <v>6778200</v>
      </c>
      <c r="M38" s="105"/>
      <c r="N38" s="102"/>
      <c r="O38" s="102"/>
      <c r="P38" s="102">
        <f>SUM(P39,P41,P43)</f>
        <v>0</v>
      </c>
      <c r="Q38" s="102">
        <f>SUM(Q39,Q41,Q43)</f>
        <v>0</v>
      </c>
      <c r="R38" s="102">
        <f>SUM(R39,R41,R43)</f>
        <v>0</v>
      </c>
      <c r="S38" s="102">
        <f>SUM(S39,S41,S43)</f>
        <v>0</v>
      </c>
      <c r="T38" s="103">
        <f t="shared" si="1"/>
        <v>0</v>
      </c>
      <c r="U38" s="105"/>
      <c r="V38" s="102"/>
      <c r="W38" s="102"/>
      <c r="X38" s="102">
        <f>SUM(X39,X41,X43)</f>
        <v>0</v>
      </c>
      <c r="Y38" s="102">
        <f>SUM(Y39,Y41,Y43)</f>
        <v>0</v>
      </c>
      <c r="Z38" s="102">
        <f>SUM(Z39,Z41,Z43)</f>
        <v>0</v>
      </c>
      <c r="AA38" s="102">
        <f>SUM(AA39,AA41,AA43)</f>
        <v>0</v>
      </c>
      <c r="AB38" s="103">
        <f t="shared" si="2"/>
        <v>0</v>
      </c>
      <c r="AC38" s="105"/>
      <c r="AD38" s="102">
        <f t="shared" si="3"/>
        <v>0</v>
      </c>
      <c r="AE38" s="102" t="str">
        <f t="shared" si="4"/>
        <v/>
      </c>
      <c r="AF38" s="102">
        <f t="shared" si="5"/>
        <v>0</v>
      </c>
      <c r="AG38" s="102">
        <f t="shared" si="6"/>
        <v>0</v>
      </c>
      <c r="AH38" s="102">
        <f t="shared" si="7"/>
        <v>0</v>
      </c>
      <c r="AI38" s="102">
        <f t="shared" si="8"/>
        <v>0</v>
      </c>
      <c r="AJ38" s="103">
        <f t="shared" si="9"/>
        <v>0</v>
      </c>
      <c r="AK38" s="105"/>
      <c r="AL38" s="102"/>
    </row>
    <row r="39" spans="2:38" ht="20.100000000000001" customHeight="1" outlineLevel="1" x14ac:dyDescent="0.3">
      <c r="B39" s="108" t="s">
        <v>481</v>
      </c>
      <c r="C39" s="108" t="s">
        <v>171</v>
      </c>
      <c r="D39" s="108" t="s">
        <v>482</v>
      </c>
      <c r="E39" s="105"/>
      <c r="F39" s="102"/>
      <c r="G39" s="102"/>
      <c r="H39" s="102">
        <f>H40</f>
        <v>4668000</v>
      </c>
      <c r="I39" s="102">
        <f>I40</f>
        <v>0</v>
      </c>
      <c r="J39" s="102">
        <f>J40</f>
        <v>0</v>
      </c>
      <c r="K39" s="102">
        <f>K40</f>
        <v>0</v>
      </c>
      <c r="L39" s="103">
        <f t="shared" si="0"/>
        <v>4668000</v>
      </c>
      <c r="M39" s="105"/>
      <c r="N39" s="102"/>
      <c r="O39" s="102"/>
      <c r="P39" s="102">
        <f>P40</f>
        <v>0</v>
      </c>
      <c r="Q39" s="102">
        <f>Q40</f>
        <v>0</v>
      </c>
      <c r="R39" s="102">
        <f>R40</f>
        <v>0</v>
      </c>
      <c r="S39" s="102">
        <f>S40</f>
        <v>0</v>
      </c>
      <c r="T39" s="103">
        <f t="shared" si="1"/>
        <v>0</v>
      </c>
      <c r="U39" s="105"/>
      <c r="V39" s="102"/>
      <c r="W39" s="102"/>
      <c r="X39" s="102">
        <f>X40</f>
        <v>0</v>
      </c>
      <c r="Y39" s="102">
        <f>Y40</f>
        <v>0</v>
      </c>
      <c r="Z39" s="102">
        <f>Z40</f>
        <v>0</v>
      </c>
      <c r="AA39" s="102">
        <f>AA40</f>
        <v>0</v>
      </c>
      <c r="AB39" s="103">
        <f t="shared" si="2"/>
        <v>0</v>
      </c>
      <c r="AC39" s="105"/>
      <c r="AD39" s="102">
        <f t="shared" si="3"/>
        <v>0</v>
      </c>
      <c r="AE39" s="102" t="str">
        <f t="shared" si="4"/>
        <v/>
      </c>
      <c r="AF39" s="102">
        <f t="shared" si="5"/>
        <v>0</v>
      </c>
      <c r="AG39" s="102">
        <f t="shared" si="6"/>
        <v>0</v>
      </c>
      <c r="AH39" s="102">
        <f t="shared" si="7"/>
        <v>0</v>
      </c>
      <c r="AI39" s="102">
        <f t="shared" si="8"/>
        <v>0</v>
      </c>
      <c r="AJ39" s="103">
        <f t="shared" si="9"/>
        <v>0</v>
      </c>
      <c r="AK39" s="105"/>
      <c r="AL39" s="102"/>
    </row>
    <row r="40" spans="2:38" ht="20.100000000000001" customHeight="1" outlineLevel="1" x14ac:dyDescent="0.3">
      <c r="B40" s="109" t="s">
        <v>598</v>
      </c>
      <c r="C40" s="109" t="s">
        <v>172</v>
      </c>
      <c r="D40" s="109" t="s">
        <v>483</v>
      </c>
      <c r="E40" s="105"/>
      <c r="F40" s="68">
        <v>0</v>
      </c>
      <c r="G40" s="68"/>
      <c r="H40" s="68">
        <v>4668000</v>
      </c>
      <c r="I40" s="68"/>
      <c r="J40" s="68"/>
      <c r="K40" s="68"/>
      <c r="L40" s="103">
        <f t="shared" si="0"/>
        <v>4668000</v>
      </c>
      <c r="M40" s="105"/>
      <c r="N40" s="68"/>
      <c r="O40" s="68"/>
      <c r="P40" s="68"/>
      <c r="Q40" s="68"/>
      <c r="R40" s="68"/>
      <c r="S40" s="68"/>
      <c r="T40" s="103">
        <f t="shared" si="1"/>
        <v>0</v>
      </c>
      <c r="U40" s="105"/>
      <c r="V40" s="68"/>
      <c r="W40" s="68"/>
      <c r="X40" s="68"/>
      <c r="Y40" s="68"/>
      <c r="Z40" s="68"/>
      <c r="AA40" s="68"/>
      <c r="AB40" s="103">
        <f t="shared" si="2"/>
        <v>0</v>
      </c>
      <c r="AC40" s="105"/>
      <c r="AD40" s="68">
        <f t="shared" si="3"/>
        <v>0</v>
      </c>
      <c r="AE40" s="68" t="str">
        <f t="shared" si="4"/>
        <v/>
      </c>
      <c r="AF40" s="68">
        <f t="shared" si="5"/>
        <v>0</v>
      </c>
      <c r="AG40" s="68">
        <f t="shared" si="6"/>
        <v>0</v>
      </c>
      <c r="AH40" s="68">
        <f t="shared" si="7"/>
        <v>0</v>
      </c>
      <c r="AI40" s="68">
        <f t="shared" si="8"/>
        <v>0</v>
      </c>
      <c r="AJ40" s="103">
        <f t="shared" si="9"/>
        <v>0</v>
      </c>
      <c r="AK40" s="105"/>
      <c r="AL40" s="68"/>
    </row>
    <row r="41" spans="2:38" ht="20.100000000000001" customHeight="1" outlineLevel="1" x14ac:dyDescent="0.3">
      <c r="B41" s="108" t="s">
        <v>484</v>
      </c>
      <c r="C41" s="108" t="s">
        <v>175</v>
      </c>
      <c r="D41" s="108" t="s">
        <v>485</v>
      </c>
      <c r="E41" s="105"/>
      <c r="F41" s="102"/>
      <c r="G41" s="102"/>
      <c r="H41" s="102">
        <f>H42</f>
        <v>1932000</v>
      </c>
      <c r="I41" s="102">
        <f>I42</f>
        <v>0</v>
      </c>
      <c r="J41" s="102">
        <f>J42</f>
        <v>0</v>
      </c>
      <c r="K41" s="102">
        <f>K42</f>
        <v>0</v>
      </c>
      <c r="L41" s="103">
        <f t="shared" si="0"/>
        <v>1932000</v>
      </c>
      <c r="M41" s="105"/>
      <c r="N41" s="102"/>
      <c r="O41" s="102"/>
      <c r="P41" s="102">
        <f>P42</f>
        <v>0</v>
      </c>
      <c r="Q41" s="102">
        <f>Q42</f>
        <v>0</v>
      </c>
      <c r="R41" s="102">
        <f>R42</f>
        <v>0</v>
      </c>
      <c r="S41" s="102">
        <f>S42</f>
        <v>0</v>
      </c>
      <c r="T41" s="103">
        <f t="shared" si="1"/>
        <v>0</v>
      </c>
      <c r="U41" s="105"/>
      <c r="V41" s="102"/>
      <c r="W41" s="102"/>
      <c r="X41" s="102">
        <f>X42</f>
        <v>0</v>
      </c>
      <c r="Y41" s="102">
        <f>Y42</f>
        <v>0</v>
      </c>
      <c r="Z41" s="102">
        <f>Z42</f>
        <v>0</v>
      </c>
      <c r="AA41" s="102">
        <f>AA42</f>
        <v>0</v>
      </c>
      <c r="AB41" s="103">
        <f t="shared" si="2"/>
        <v>0</v>
      </c>
      <c r="AC41" s="105"/>
      <c r="AD41" s="102">
        <f t="shared" si="3"/>
        <v>0</v>
      </c>
      <c r="AE41" s="102" t="str">
        <f t="shared" si="4"/>
        <v/>
      </c>
      <c r="AF41" s="102">
        <f t="shared" si="5"/>
        <v>0</v>
      </c>
      <c r="AG41" s="102">
        <f t="shared" si="6"/>
        <v>0</v>
      </c>
      <c r="AH41" s="102">
        <f t="shared" si="7"/>
        <v>0</v>
      </c>
      <c r="AI41" s="102">
        <f t="shared" si="8"/>
        <v>0</v>
      </c>
      <c r="AJ41" s="103">
        <f t="shared" si="9"/>
        <v>0</v>
      </c>
      <c r="AK41" s="105"/>
      <c r="AL41" s="102"/>
    </row>
    <row r="42" spans="2:38" ht="20.100000000000001" customHeight="1" outlineLevel="1" x14ac:dyDescent="0.3">
      <c r="B42" s="109" t="s">
        <v>599</v>
      </c>
      <c r="C42" s="109" t="s">
        <v>178</v>
      </c>
      <c r="D42" s="109" t="s">
        <v>600</v>
      </c>
      <c r="E42" s="105"/>
      <c r="F42" s="68">
        <v>0</v>
      </c>
      <c r="G42" s="68"/>
      <c r="H42" s="68">
        <v>1932000</v>
      </c>
      <c r="I42" s="68"/>
      <c r="J42" s="68"/>
      <c r="K42" s="68"/>
      <c r="L42" s="103">
        <f t="shared" si="0"/>
        <v>1932000</v>
      </c>
      <c r="M42" s="105"/>
      <c r="N42" s="68"/>
      <c r="O42" s="68"/>
      <c r="P42" s="68"/>
      <c r="Q42" s="68"/>
      <c r="R42" s="68"/>
      <c r="S42" s="68"/>
      <c r="T42" s="103">
        <f t="shared" si="1"/>
        <v>0</v>
      </c>
      <c r="U42" s="105"/>
      <c r="V42" s="68"/>
      <c r="W42" s="68"/>
      <c r="X42" s="68"/>
      <c r="Y42" s="68"/>
      <c r="Z42" s="68"/>
      <c r="AA42" s="68"/>
      <c r="AB42" s="103">
        <f t="shared" si="2"/>
        <v>0</v>
      </c>
      <c r="AC42" s="105"/>
      <c r="AD42" s="68">
        <f t="shared" si="3"/>
        <v>0</v>
      </c>
      <c r="AE42" s="68" t="str">
        <f t="shared" si="4"/>
        <v/>
      </c>
      <c r="AF42" s="68">
        <f t="shared" si="5"/>
        <v>0</v>
      </c>
      <c r="AG42" s="68">
        <f t="shared" si="6"/>
        <v>0</v>
      </c>
      <c r="AH42" s="68">
        <f t="shared" si="7"/>
        <v>0</v>
      </c>
      <c r="AI42" s="68">
        <f t="shared" si="8"/>
        <v>0</v>
      </c>
      <c r="AJ42" s="103">
        <f t="shared" si="9"/>
        <v>0</v>
      </c>
      <c r="AK42" s="105"/>
      <c r="AL42" s="68"/>
    </row>
    <row r="43" spans="2:38" ht="20.100000000000001" customHeight="1" outlineLevel="1" x14ac:dyDescent="0.3">
      <c r="B43" s="108" t="s">
        <v>486</v>
      </c>
      <c r="C43" s="108" t="s">
        <v>180</v>
      </c>
      <c r="D43" s="108" t="s">
        <v>487</v>
      </c>
      <c r="E43" s="105"/>
      <c r="F43" s="102"/>
      <c r="G43" s="102"/>
      <c r="H43" s="102">
        <f>H44</f>
        <v>178200</v>
      </c>
      <c r="I43" s="102">
        <f>I44</f>
        <v>0</v>
      </c>
      <c r="J43" s="102">
        <f>J44</f>
        <v>0</v>
      </c>
      <c r="K43" s="102">
        <f>K44</f>
        <v>0</v>
      </c>
      <c r="L43" s="103">
        <f t="shared" si="0"/>
        <v>178200</v>
      </c>
      <c r="M43" s="105"/>
      <c r="N43" s="102"/>
      <c r="O43" s="102"/>
      <c r="P43" s="102">
        <f>P44</f>
        <v>0</v>
      </c>
      <c r="Q43" s="102">
        <f>Q44</f>
        <v>0</v>
      </c>
      <c r="R43" s="102">
        <f>R44</f>
        <v>0</v>
      </c>
      <c r="S43" s="102">
        <f>S44</f>
        <v>0</v>
      </c>
      <c r="T43" s="103">
        <f t="shared" si="1"/>
        <v>0</v>
      </c>
      <c r="U43" s="105"/>
      <c r="V43" s="102"/>
      <c r="W43" s="102"/>
      <c r="X43" s="102">
        <f>X44</f>
        <v>0</v>
      </c>
      <c r="Y43" s="102">
        <f>Y44</f>
        <v>0</v>
      </c>
      <c r="Z43" s="102">
        <f>Z44</f>
        <v>0</v>
      </c>
      <c r="AA43" s="102">
        <f>AA44</f>
        <v>0</v>
      </c>
      <c r="AB43" s="103">
        <f t="shared" si="2"/>
        <v>0</v>
      </c>
      <c r="AC43" s="105"/>
      <c r="AD43" s="102">
        <f t="shared" si="3"/>
        <v>0</v>
      </c>
      <c r="AE43" s="102" t="str">
        <f t="shared" si="4"/>
        <v/>
      </c>
      <c r="AF43" s="102">
        <f t="shared" si="5"/>
        <v>0</v>
      </c>
      <c r="AG43" s="102">
        <f t="shared" si="6"/>
        <v>0</v>
      </c>
      <c r="AH43" s="102">
        <f t="shared" si="7"/>
        <v>0</v>
      </c>
      <c r="AI43" s="102">
        <f t="shared" si="8"/>
        <v>0</v>
      </c>
      <c r="AJ43" s="103">
        <f t="shared" si="9"/>
        <v>0</v>
      </c>
      <c r="AK43" s="105"/>
      <c r="AL43" s="102"/>
    </row>
    <row r="44" spans="2:38" ht="20.100000000000001" customHeight="1" outlineLevel="1" x14ac:dyDescent="0.3">
      <c r="B44" s="109" t="s">
        <v>601</v>
      </c>
      <c r="C44" s="109" t="s">
        <v>602</v>
      </c>
      <c r="D44" s="109" t="s">
        <v>483</v>
      </c>
      <c r="E44" s="105"/>
      <c r="F44" s="68">
        <v>0</v>
      </c>
      <c r="G44" s="68"/>
      <c r="H44" s="68">
        <v>178200</v>
      </c>
      <c r="I44" s="68"/>
      <c r="J44" s="68"/>
      <c r="K44" s="68"/>
      <c r="L44" s="103">
        <f t="shared" si="0"/>
        <v>178200</v>
      </c>
      <c r="M44" s="105"/>
      <c r="N44" s="68"/>
      <c r="O44" s="68"/>
      <c r="P44" s="68"/>
      <c r="Q44" s="68"/>
      <c r="R44" s="68"/>
      <c r="S44" s="68"/>
      <c r="T44" s="103">
        <f t="shared" si="1"/>
        <v>0</v>
      </c>
      <c r="U44" s="105"/>
      <c r="V44" s="68"/>
      <c r="W44" s="68"/>
      <c r="X44" s="68"/>
      <c r="Y44" s="68"/>
      <c r="Z44" s="68"/>
      <c r="AA44" s="68"/>
      <c r="AB44" s="103">
        <f t="shared" si="2"/>
        <v>0</v>
      </c>
      <c r="AC44" s="105"/>
      <c r="AD44" s="68">
        <f t="shared" si="3"/>
        <v>0</v>
      </c>
      <c r="AE44" s="68" t="str">
        <f t="shared" si="4"/>
        <v/>
      </c>
      <c r="AF44" s="68">
        <f t="shared" si="5"/>
        <v>0</v>
      </c>
      <c r="AG44" s="68">
        <f t="shared" si="6"/>
        <v>0</v>
      </c>
      <c r="AH44" s="68">
        <f t="shared" si="7"/>
        <v>0</v>
      </c>
      <c r="AI44" s="68">
        <f t="shared" si="8"/>
        <v>0</v>
      </c>
      <c r="AJ44" s="103">
        <f t="shared" si="9"/>
        <v>0</v>
      </c>
      <c r="AK44" s="105"/>
      <c r="AL44" s="68"/>
    </row>
    <row r="45" spans="2:38" ht="20.100000000000001" customHeight="1" outlineLevel="1" x14ac:dyDescent="0.3">
      <c r="B45" s="107" t="s">
        <v>603</v>
      </c>
      <c r="C45" s="107" t="s">
        <v>604</v>
      </c>
      <c r="D45" s="107" t="s">
        <v>605</v>
      </c>
      <c r="E45" s="105"/>
      <c r="F45" s="102"/>
      <c r="G45" s="102"/>
      <c r="H45" s="102">
        <f>SUM(H46,H48,H50)</f>
        <v>286000</v>
      </c>
      <c r="I45" s="102">
        <f>SUM(I46,I48,I50)</f>
        <v>0</v>
      </c>
      <c r="J45" s="102">
        <f>SUM(J46,J48,J50)</f>
        <v>0</v>
      </c>
      <c r="K45" s="102">
        <f>SUM(K46,K48,K50)</f>
        <v>0</v>
      </c>
      <c r="L45" s="103">
        <f t="shared" ref="L45:L76" si="10">SUM(H45:K45)</f>
        <v>286000</v>
      </c>
      <c r="M45" s="105"/>
      <c r="N45" s="102"/>
      <c r="O45" s="102"/>
      <c r="P45" s="102">
        <f>SUM(P46,P48,P50)</f>
        <v>3600</v>
      </c>
      <c r="Q45" s="102">
        <f>SUM(Q46,Q48,Q50)</f>
        <v>0</v>
      </c>
      <c r="R45" s="102">
        <f>SUM(R46,R48,R50)</f>
        <v>0</v>
      </c>
      <c r="S45" s="102">
        <f>SUM(S46,S48,S50)</f>
        <v>8000</v>
      </c>
      <c r="T45" s="103">
        <f t="shared" ref="T45:T76" si="11">SUM(P45:S45)</f>
        <v>11600</v>
      </c>
      <c r="U45" s="105"/>
      <c r="V45" s="102"/>
      <c r="W45" s="102"/>
      <c r="X45" s="102">
        <f>SUM(X46,X48,X50)</f>
        <v>0</v>
      </c>
      <c r="Y45" s="102">
        <f>SUM(Y46,Y48,Y50)</f>
        <v>0</v>
      </c>
      <c r="Z45" s="102">
        <f>SUM(Z46,Z48,Z50)</f>
        <v>0</v>
      </c>
      <c r="AA45" s="102">
        <f>SUM(AA46,AA48,AA50)</f>
        <v>0</v>
      </c>
      <c r="AB45" s="103">
        <f t="shared" ref="AB45:AB76" si="12">SUM(X45:AA45)</f>
        <v>0</v>
      </c>
      <c r="AC45" s="105"/>
      <c r="AD45" s="102">
        <f t="shared" ref="AD45:AD76" si="13">V45+N45</f>
        <v>0</v>
      </c>
      <c r="AE45" s="102" t="str">
        <f t="shared" ref="AE45:AE76" si="14">IF(W45&lt;&gt;"",W45,"")</f>
        <v/>
      </c>
      <c r="AF45" s="102">
        <f t="shared" ref="AF45:AF76" si="15">X45+P45</f>
        <v>3600</v>
      </c>
      <c r="AG45" s="102">
        <f t="shared" ref="AG45:AG76" si="16">Y45+Q45</f>
        <v>0</v>
      </c>
      <c r="AH45" s="102">
        <f t="shared" ref="AH45:AH76" si="17">Z45+R45</f>
        <v>0</v>
      </c>
      <c r="AI45" s="102">
        <f t="shared" ref="AI45:AI76" si="18">AA45+S45</f>
        <v>8000</v>
      </c>
      <c r="AJ45" s="103">
        <f t="shared" ref="AJ45:AJ76" si="19">SUM(AF45:AI45)</f>
        <v>11600</v>
      </c>
      <c r="AK45" s="105"/>
      <c r="AL45" s="102"/>
    </row>
    <row r="46" spans="2:38" ht="20.100000000000001" customHeight="1" outlineLevel="1" x14ac:dyDescent="0.3">
      <c r="B46" s="108" t="s">
        <v>606</v>
      </c>
      <c r="C46" s="108" t="s">
        <v>607</v>
      </c>
      <c r="D46" s="108" t="s">
        <v>482</v>
      </c>
      <c r="E46" s="105"/>
      <c r="F46" s="102"/>
      <c r="G46" s="102"/>
      <c r="H46" s="102">
        <f>H47</f>
        <v>60000</v>
      </c>
      <c r="I46" s="102">
        <f>I47</f>
        <v>0</v>
      </c>
      <c r="J46" s="102">
        <f>J47</f>
        <v>0</v>
      </c>
      <c r="K46" s="102">
        <f>K47</f>
        <v>0</v>
      </c>
      <c r="L46" s="103">
        <f t="shared" si="10"/>
        <v>60000</v>
      </c>
      <c r="M46" s="105"/>
      <c r="N46" s="102"/>
      <c r="O46" s="102"/>
      <c r="P46" s="102">
        <f>P47</f>
        <v>0</v>
      </c>
      <c r="Q46" s="102">
        <f>Q47</f>
        <v>0</v>
      </c>
      <c r="R46" s="102">
        <f>R47</f>
        <v>0</v>
      </c>
      <c r="S46" s="102">
        <f>S47</f>
        <v>0</v>
      </c>
      <c r="T46" s="103">
        <f t="shared" si="11"/>
        <v>0</v>
      </c>
      <c r="U46" s="105"/>
      <c r="V46" s="102"/>
      <c r="W46" s="102"/>
      <c r="X46" s="102">
        <f>X47</f>
        <v>0</v>
      </c>
      <c r="Y46" s="102">
        <f>Y47</f>
        <v>0</v>
      </c>
      <c r="Z46" s="102">
        <f>Z47</f>
        <v>0</v>
      </c>
      <c r="AA46" s="102">
        <f>AA47</f>
        <v>0</v>
      </c>
      <c r="AB46" s="103">
        <f t="shared" si="12"/>
        <v>0</v>
      </c>
      <c r="AC46" s="105"/>
      <c r="AD46" s="102">
        <f t="shared" si="13"/>
        <v>0</v>
      </c>
      <c r="AE46" s="102" t="str">
        <f t="shared" si="14"/>
        <v/>
      </c>
      <c r="AF46" s="102">
        <f t="shared" si="15"/>
        <v>0</v>
      </c>
      <c r="AG46" s="102">
        <f t="shared" si="16"/>
        <v>0</v>
      </c>
      <c r="AH46" s="102">
        <f t="shared" si="17"/>
        <v>0</v>
      </c>
      <c r="AI46" s="102">
        <f t="shared" si="18"/>
        <v>0</v>
      </c>
      <c r="AJ46" s="103">
        <f t="shared" si="19"/>
        <v>0</v>
      </c>
      <c r="AK46" s="105"/>
      <c r="AL46" s="102"/>
    </row>
    <row r="47" spans="2:38" ht="20.100000000000001" customHeight="1" outlineLevel="1" x14ac:dyDescent="0.3">
      <c r="B47" s="109" t="s">
        <v>608</v>
      </c>
      <c r="C47" s="109" t="s">
        <v>609</v>
      </c>
      <c r="D47" s="109" t="s">
        <v>600</v>
      </c>
      <c r="E47" s="105"/>
      <c r="F47" s="68">
        <v>0</v>
      </c>
      <c r="G47" s="68"/>
      <c r="H47" s="68">
        <v>60000</v>
      </c>
      <c r="I47" s="68"/>
      <c r="J47" s="68"/>
      <c r="K47" s="68"/>
      <c r="L47" s="103">
        <f t="shared" si="10"/>
        <v>60000</v>
      </c>
      <c r="M47" s="105"/>
      <c r="N47" s="68"/>
      <c r="O47" s="68"/>
      <c r="P47" s="68"/>
      <c r="Q47" s="68"/>
      <c r="R47" s="68"/>
      <c r="S47" s="68"/>
      <c r="T47" s="103">
        <f t="shared" si="11"/>
        <v>0</v>
      </c>
      <c r="U47" s="105"/>
      <c r="V47" s="68"/>
      <c r="W47" s="68"/>
      <c r="X47" s="68"/>
      <c r="Y47" s="68"/>
      <c r="Z47" s="68"/>
      <c r="AA47" s="68"/>
      <c r="AB47" s="103">
        <f t="shared" si="12"/>
        <v>0</v>
      </c>
      <c r="AC47" s="105"/>
      <c r="AD47" s="68">
        <f t="shared" si="13"/>
        <v>0</v>
      </c>
      <c r="AE47" s="68" t="str">
        <f t="shared" si="14"/>
        <v/>
      </c>
      <c r="AF47" s="68">
        <f t="shared" si="15"/>
        <v>0</v>
      </c>
      <c r="AG47" s="68">
        <f t="shared" si="16"/>
        <v>0</v>
      </c>
      <c r="AH47" s="68">
        <f t="shared" si="17"/>
        <v>0</v>
      </c>
      <c r="AI47" s="68">
        <f t="shared" si="18"/>
        <v>0</v>
      </c>
      <c r="AJ47" s="103">
        <f t="shared" si="19"/>
        <v>0</v>
      </c>
      <c r="AK47" s="105"/>
      <c r="AL47" s="68"/>
    </row>
    <row r="48" spans="2:38" ht="20.100000000000001" customHeight="1" outlineLevel="1" x14ac:dyDescent="0.3">
      <c r="B48" s="108" t="s">
        <v>610</v>
      </c>
      <c r="C48" s="108" t="s">
        <v>611</v>
      </c>
      <c r="D48" s="108" t="s">
        <v>485</v>
      </c>
      <c r="E48" s="105"/>
      <c r="F48" s="102"/>
      <c r="G48" s="102"/>
      <c r="H48" s="102">
        <f>H49</f>
        <v>48000</v>
      </c>
      <c r="I48" s="102">
        <f>I49</f>
        <v>0</v>
      </c>
      <c r="J48" s="102">
        <f>J49</f>
        <v>0</v>
      </c>
      <c r="K48" s="102">
        <f>K49</f>
        <v>0</v>
      </c>
      <c r="L48" s="103">
        <f t="shared" si="10"/>
        <v>48000</v>
      </c>
      <c r="M48" s="105"/>
      <c r="N48" s="102"/>
      <c r="O48" s="102"/>
      <c r="P48" s="102">
        <f>P49</f>
        <v>0</v>
      </c>
      <c r="Q48" s="102">
        <f>Q49</f>
        <v>0</v>
      </c>
      <c r="R48" s="102">
        <f>R49</f>
        <v>0</v>
      </c>
      <c r="S48" s="102">
        <f>S49</f>
        <v>0</v>
      </c>
      <c r="T48" s="103">
        <f t="shared" si="11"/>
        <v>0</v>
      </c>
      <c r="U48" s="105"/>
      <c r="V48" s="102"/>
      <c r="W48" s="102"/>
      <c r="X48" s="102">
        <f>X49</f>
        <v>0</v>
      </c>
      <c r="Y48" s="102">
        <f>Y49</f>
        <v>0</v>
      </c>
      <c r="Z48" s="102">
        <f>Z49</f>
        <v>0</v>
      </c>
      <c r="AA48" s="102">
        <f>AA49</f>
        <v>0</v>
      </c>
      <c r="AB48" s="103">
        <f t="shared" si="12"/>
        <v>0</v>
      </c>
      <c r="AC48" s="105"/>
      <c r="AD48" s="102">
        <f t="shared" si="13"/>
        <v>0</v>
      </c>
      <c r="AE48" s="102" t="str">
        <f t="shared" si="14"/>
        <v/>
      </c>
      <c r="AF48" s="102">
        <f t="shared" si="15"/>
        <v>0</v>
      </c>
      <c r="AG48" s="102">
        <f t="shared" si="16"/>
        <v>0</v>
      </c>
      <c r="AH48" s="102">
        <f t="shared" si="17"/>
        <v>0</v>
      </c>
      <c r="AI48" s="102">
        <f t="shared" si="18"/>
        <v>0</v>
      </c>
      <c r="AJ48" s="103">
        <f t="shared" si="19"/>
        <v>0</v>
      </c>
      <c r="AK48" s="105"/>
      <c r="AL48" s="102"/>
    </row>
    <row r="49" spans="2:38" ht="20.100000000000001" customHeight="1" outlineLevel="1" x14ac:dyDescent="0.3">
      <c r="B49" s="109" t="s">
        <v>612</v>
      </c>
      <c r="C49" s="109" t="s">
        <v>613</v>
      </c>
      <c r="D49" s="109" t="s">
        <v>600</v>
      </c>
      <c r="E49" s="105"/>
      <c r="F49" s="68">
        <v>0</v>
      </c>
      <c r="G49" s="68"/>
      <c r="H49" s="68">
        <v>48000</v>
      </c>
      <c r="I49" s="68"/>
      <c r="J49" s="68"/>
      <c r="K49" s="68"/>
      <c r="L49" s="103">
        <f t="shared" si="10"/>
        <v>48000</v>
      </c>
      <c r="M49" s="105"/>
      <c r="N49" s="68"/>
      <c r="O49" s="68"/>
      <c r="P49" s="68"/>
      <c r="Q49" s="68"/>
      <c r="R49" s="68"/>
      <c r="S49" s="68"/>
      <c r="T49" s="103">
        <f t="shared" si="11"/>
        <v>0</v>
      </c>
      <c r="U49" s="105"/>
      <c r="V49" s="68"/>
      <c r="W49" s="68"/>
      <c r="X49" s="68"/>
      <c r="Y49" s="68"/>
      <c r="Z49" s="68"/>
      <c r="AA49" s="68"/>
      <c r="AB49" s="103">
        <f t="shared" si="12"/>
        <v>0</v>
      </c>
      <c r="AC49" s="105"/>
      <c r="AD49" s="68">
        <f t="shared" si="13"/>
        <v>0</v>
      </c>
      <c r="AE49" s="68" t="str">
        <f t="shared" si="14"/>
        <v/>
      </c>
      <c r="AF49" s="68">
        <f t="shared" si="15"/>
        <v>0</v>
      </c>
      <c r="AG49" s="68">
        <f t="shared" si="16"/>
        <v>0</v>
      </c>
      <c r="AH49" s="68">
        <f t="shared" si="17"/>
        <v>0</v>
      </c>
      <c r="AI49" s="68">
        <f t="shared" si="18"/>
        <v>0</v>
      </c>
      <c r="AJ49" s="103">
        <f t="shared" si="19"/>
        <v>0</v>
      </c>
      <c r="AK49" s="105"/>
      <c r="AL49" s="68"/>
    </row>
    <row r="50" spans="2:38" ht="20.100000000000001" customHeight="1" outlineLevel="1" x14ac:dyDescent="0.3">
      <c r="B50" s="108" t="s">
        <v>614</v>
      </c>
      <c r="C50" s="108" t="s">
        <v>615</v>
      </c>
      <c r="D50" s="108" t="s">
        <v>487</v>
      </c>
      <c r="E50" s="105"/>
      <c r="F50" s="102"/>
      <c r="G50" s="102"/>
      <c r="H50" s="102">
        <f>H51</f>
        <v>178000</v>
      </c>
      <c r="I50" s="102">
        <f>I51</f>
        <v>0</v>
      </c>
      <c r="J50" s="102">
        <f>J51</f>
        <v>0</v>
      </c>
      <c r="K50" s="102">
        <f>K51</f>
        <v>0</v>
      </c>
      <c r="L50" s="103">
        <f t="shared" si="10"/>
        <v>178000</v>
      </c>
      <c r="M50" s="105"/>
      <c r="N50" s="102"/>
      <c r="O50" s="102"/>
      <c r="P50" s="102">
        <f>P51</f>
        <v>3600</v>
      </c>
      <c r="Q50" s="102">
        <f>Q51</f>
        <v>0</v>
      </c>
      <c r="R50" s="102">
        <f>R51</f>
        <v>0</v>
      </c>
      <c r="S50" s="102">
        <f>S51</f>
        <v>8000</v>
      </c>
      <c r="T50" s="103">
        <f t="shared" si="11"/>
        <v>11600</v>
      </c>
      <c r="U50" s="105"/>
      <c r="V50" s="102"/>
      <c r="W50" s="102"/>
      <c r="X50" s="102">
        <f>X51</f>
        <v>0</v>
      </c>
      <c r="Y50" s="102">
        <f>Y51</f>
        <v>0</v>
      </c>
      <c r="Z50" s="102">
        <f>Z51</f>
        <v>0</v>
      </c>
      <c r="AA50" s="102">
        <f>AA51</f>
        <v>0</v>
      </c>
      <c r="AB50" s="103">
        <f t="shared" si="12"/>
        <v>0</v>
      </c>
      <c r="AC50" s="105"/>
      <c r="AD50" s="102">
        <f t="shared" si="13"/>
        <v>0</v>
      </c>
      <c r="AE50" s="102" t="str">
        <f t="shared" si="14"/>
        <v/>
      </c>
      <c r="AF50" s="102">
        <f t="shared" si="15"/>
        <v>3600</v>
      </c>
      <c r="AG50" s="102">
        <f t="shared" si="16"/>
        <v>0</v>
      </c>
      <c r="AH50" s="102">
        <f t="shared" si="17"/>
        <v>0</v>
      </c>
      <c r="AI50" s="102">
        <f t="shared" si="18"/>
        <v>8000</v>
      </c>
      <c r="AJ50" s="103">
        <f t="shared" si="19"/>
        <v>11600</v>
      </c>
      <c r="AK50" s="105"/>
      <c r="AL50" s="102"/>
    </row>
    <row r="51" spans="2:38" ht="20.100000000000001" customHeight="1" outlineLevel="1" x14ac:dyDescent="0.3">
      <c r="B51" s="109" t="s">
        <v>616</v>
      </c>
      <c r="C51" s="109" t="s">
        <v>617</v>
      </c>
      <c r="D51" s="109" t="s">
        <v>483</v>
      </c>
      <c r="E51" s="105"/>
      <c r="F51" s="68">
        <v>0</v>
      </c>
      <c r="G51" s="68"/>
      <c r="H51" s="68">
        <v>178000</v>
      </c>
      <c r="I51" s="68"/>
      <c r="J51" s="68"/>
      <c r="K51" s="68"/>
      <c r="L51" s="103">
        <f t="shared" si="10"/>
        <v>178000</v>
      </c>
      <c r="M51" s="105"/>
      <c r="N51" s="68">
        <v>4</v>
      </c>
      <c r="O51" s="68" t="s">
        <v>546</v>
      </c>
      <c r="P51" s="68">
        <v>3600</v>
      </c>
      <c r="Q51" s="68">
        <v>0</v>
      </c>
      <c r="R51" s="68">
        <v>0</v>
      </c>
      <c r="S51" s="68">
        <v>8000</v>
      </c>
      <c r="T51" s="103">
        <f t="shared" si="11"/>
        <v>11600</v>
      </c>
      <c r="U51" s="105"/>
      <c r="V51" s="68"/>
      <c r="W51" s="68"/>
      <c r="X51" s="68"/>
      <c r="Y51" s="68"/>
      <c r="Z51" s="68"/>
      <c r="AA51" s="68"/>
      <c r="AB51" s="103">
        <f t="shared" si="12"/>
        <v>0</v>
      </c>
      <c r="AC51" s="105"/>
      <c r="AD51" s="68">
        <f t="shared" si="13"/>
        <v>4</v>
      </c>
      <c r="AE51" s="68" t="str">
        <f t="shared" si="14"/>
        <v/>
      </c>
      <c r="AF51" s="68">
        <f t="shared" si="15"/>
        <v>3600</v>
      </c>
      <c r="AG51" s="68">
        <f t="shared" si="16"/>
        <v>0</v>
      </c>
      <c r="AH51" s="68">
        <f t="shared" si="17"/>
        <v>0</v>
      </c>
      <c r="AI51" s="68">
        <f t="shared" si="18"/>
        <v>8000</v>
      </c>
      <c r="AJ51" s="103">
        <f t="shared" si="19"/>
        <v>11600</v>
      </c>
      <c r="AK51" s="105"/>
      <c r="AL51" s="68"/>
    </row>
    <row r="52" spans="2:38" ht="20.100000000000001" customHeight="1" outlineLevel="1" x14ac:dyDescent="0.3">
      <c r="B52" s="107" t="s">
        <v>488</v>
      </c>
      <c r="C52" s="107" t="s">
        <v>183</v>
      </c>
      <c r="D52" s="107" t="s">
        <v>489</v>
      </c>
      <c r="E52" s="105"/>
      <c r="F52" s="102"/>
      <c r="G52" s="102"/>
      <c r="H52" s="102">
        <f>SUM(H53,H54)</f>
        <v>1284000</v>
      </c>
      <c r="I52" s="102">
        <f>SUM(I53,I54)</f>
        <v>0</v>
      </c>
      <c r="J52" s="102">
        <f>SUM(J53,J54)</f>
        <v>0</v>
      </c>
      <c r="K52" s="102">
        <f>SUM(K53,K54)</f>
        <v>0</v>
      </c>
      <c r="L52" s="103">
        <f t="shared" si="10"/>
        <v>1284000</v>
      </c>
      <c r="M52" s="105"/>
      <c r="N52" s="102"/>
      <c r="O52" s="102"/>
      <c r="P52" s="102">
        <f>SUM(P53,P54)</f>
        <v>0</v>
      </c>
      <c r="Q52" s="102">
        <f>SUM(Q53,Q54)</f>
        <v>0</v>
      </c>
      <c r="R52" s="102">
        <f>SUM(R53,R54)</f>
        <v>0</v>
      </c>
      <c r="S52" s="102">
        <f>SUM(S53,S54)</f>
        <v>0</v>
      </c>
      <c r="T52" s="103">
        <f t="shared" si="11"/>
        <v>0</v>
      </c>
      <c r="U52" s="105"/>
      <c r="V52" s="102"/>
      <c r="W52" s="102"/>
      <c r="X52" s="102">
        <f>SUM(X53,X54)</f>
        <v>0</v>
      </c>
      <c r="Y52" s="102">
        <f>SUM(Y53,Y54)</f>
        <v>0</v>
      </c>
      <c r="Z52" s="102">
        <f>SUM(Z53,Z54)</f>
        <v>0</v>
      </c>
      <c r="AA52" s="102">
        <f>SUM(AA53,AA54)</f>
        <v>0</v>
      </c>
      <c r="AB52" s="103">
        <f t="shared" si="12"/>
        <v>0</v>
      </c>
      <c r="AC52" s="105"/>
      <c r="AD52" s="102">
        <f t="shared" si="13"/>
        <v>0</v>
      </c>
      <c r="AE52" s="102" t="str">
        <f t="shared" si="14"/>
        <v/>
      </c>
      <c r="AF52" s="102">
        <f t="shared" si="15"/>
        <v>0</v>
      </c>
      <c r="AG52" s="102">
        <f t="shared" si="16"/>
        <v>0</v>
      </c>
      <c r="AH52" s="102">
        <f t="shared" si="17"/>
        <v>0</v>
      </c>
      <c r="AI52" s="102">
        <f t="shared" si="18"/>
        <v>0</v>
      </c>
      <c r="AJ52" s="103">
        <f t="shared" si="19"/>
        <v>0</v>
      </c>
      <c r="AK52" s="105"/>
      <c r="AL52" s="102"/>
    </row>
    <row r="53" spans="2:38" ht="20.100000000000001" customHeight="1" outlineLevel="1" x14ac:dyDescent="0.3">
      <c r="B53" s="110" t="s">
        <v>490</v>
      </c>
      <c r="C53" s="110" t="s">
        <v>184</v>
      </c>
      <c r="D53" s="110" t="s">
        <v>491</v>
      </c>
      <c r="E53" s="105"/>
      <c r="F53" s="68">
        <v>0</v>
      </c>
      <c r="G53" s="68"/>
      <c r="H53" s="68">
        <v>132000</v>
      </c>
      <c r="I53" s="68"/>
      <c r="J53" s="68"/>
      <c r="K53" s="68"/>
      <c r="L53" s="103">
        <f t="shared" si="10"/>
        <v>132000</v>
      </c>
      <c r="M53" s="105"/>
      <c r="N53" s="68"/>
      <c r="O53" s="68"/>
      <c r="P53" s="68"/>
      <c r="Q53" s="68"/>
      <c r="R53" s="68"/>
      <c r="S53" s="68"/>
      <c r="T53" s="103">
        <f t="shared" si="11"/>
        <v>0</v>
      </c>
      <c r="U53" s="105"/>
      <c r="V53" s="68"/>
      <c r="W53" s="68"/>
      <c r="X53" s="68"/>
      <c r="Y53" s="68"/>
      <c r="Z53" s="68"/>
      <c r="AA53" s="68"/>
      <c r="AB53" s="103">
        <f t="shared" si="12"/>
        <v>0</v>
      </c>
      <c r="AC53" s="105"/>
      <c r="AD53" s="68">
        <f t="shared" si="13"/>
        <v>0</v>
      </c>
      <c r="AE53" s="68" t="str">
        <f t="shared" si="14"/>
        <v/>
      </c>
      <c r="AF53" s="68">
        <f t="shared" si="15"/>
        <v>0</v>
      </c>
      <c r="AG53" s="68">
        <f t="shared" si="16"/>
        <v>0</v>
      </c>
      <c r="AH53" s="68">
        <f t="shared" si="17"/>
        <v>0</v>
      </c>
      <c r="AI53" s="68">
        <f t="shared" si="18"/>
        <v>0</v>
      </c>
      <c r="AJ53" s="103">
        <f t="shared" si="19"/>
        <v>0</v>
      </c>
      <c r="AK53" s="105"/>
      <c r="AL53" s="68"/>
    </row>
    <row r="54" spans="2:38" ht="20.100000000000001" customHeight="1" outlineLevel="1" x14ac:dyDescent="0.3">
      <c r="B54" s="108" t="s">
        <v>618</v>
      </c>
      <c r="C54" s="108" t="s">
        <v>619</v>
      </c>
      <c r="D54" s="108" t="s">
        <v>469</v>
      </c>
      <c r="E54" s="105"/>
      <c r="F54" s="102"/>
      <c r="G54" s="102"/>
      <c r="H54" s="102">
        <f>SUM(H55,H56)</f>
        <v>1152000</v>
      </c>
      <c r="I54" s="102">
        <f>SUM(I55,I56)</f>
        <v>0</v>
      </c>
      <c r="J54" s="102">
        <f>SUM(J55,J56)</f>
        <v>0</v>
      </c>
      <c r="K54" s="102">
        <f>SUM(K55,K56)</f>
        <v>0</v>
      </c>
      <c r="L54" s="103">
        <f t="shared" si="10"/>
        <v>1152000</v>
      </c>
      <c r="M54" s="105"/>
      <c r="N54" s="102"/>
      <c r="O54" s="102"/>
      <c r="P54" s="102">
        <f>SUM(P55,P56)</f>
        <v>0</v>
      </c>
      <c r="Q54" s="102">
        <f>SUM(Q55,Q56)</f>
        <v>0</v>
      </c>
      <c r="R54" s="102">
        <f>SUM(R55,R56)</f>
        <v>0</v>
      </c>
      <c r="S54" s="102">
        <f>SUM(S55,S56)</f>
        <v>0</v>
      </c>
      <c r="T54" s="103">
        <f t="shared" si="11"/>
        <v>0</v>
      </c>
      <c r="U54" s="105"/>
      <c r="V54" s="102"/>
      <c r="W54" s="102"/>
      <c r="X54" s="102">
        <f>SUM(X55,X56)</f>
        <v>0</v>
      </c>
      <c r="Y54" s="102">
        <f>SUM(Y55,Y56)</f>
        <v>0</v>
      </c>
      <c r="Z54" s="102">
        <f>SUM(Z55,Z56)</f>
        <v>0</v>
      </c>
      <c r="AA54" s="102">
        <f>SUM(AA55,AA56)</f>
        <v>0</v>
      </c>
      <c r="AB54" s="103">
        <f t="shared" si="12"/>
        <v>0</v>
      </c>
      <c r="AC54" s="105"/>
      <c r="AD54" s="102">
        <f t="shared" si="13"/>
        <v>0</v>
      </c>
      <c r="AE54" s="102" t="str">
        <f t="shared" si="14"/>
        <v/>
      </c>
      <c r="AF54" s="102">
        <f t="shared" si="15"/>
        <v>0</v>
      </c>
      <c r="AG54" s="102">
        <f t="shared" si="16"/>
        <v>0</v>
      </c>
      <c r="AH54" s="102">
        <f t="shared" si="17"/>
        <v>0</v>
      </c>
      <c r="AI54" s="102">
        <f t="shared" si="18"/>
        <v>0</v>
      </c>
      <c r="AJ54" s="103">
        <f t="shared" si="19"/>
        <v>0</v>
      </c>
      <c r="AK54" s="105"/>
      <c r="AL54" s="102"/>
    </row>
    <row r="55" spans="2:38" ht="20.100000000000001" customHeight="1" outlineLevel="1" x14ac:dyDescent="0.3">
      <c r="B55" s="109" t="s">
        <v>620</v>
      </c>
      <c r="C55" s="109" t="s">
        <v>621</v>
      </c>
      <c r="D55" s="109" t="s">
        <v>622</v>
      </c>
      <c r="E55" s="105"/>
      <c r="F55" s="68">
        <v>0</v>
      </c>
      <c r="G55" s="68"/>
      <c r="H55" s="68">
        <v>432000</v>
      </c>
      <c r="I55" s="68"/>
      <c r="J55" s="68"/>
      <c r="K55" s="68"/>
      <c r="L55" s="103">
        <f t="shared" si="10"/>
        <v>432000</v>
      </c>
      <c r="M55" s="105"/>
      <c r="N55" s="68"/>
      <c r="O55" s="68"/>
      <c r="P55" s="68"/>
      <c r="Q55" s="68"/>
      <c r="R55" s="68"/>
      <c r="S55" s="68"/>
      <c r="T55" s="103">
        <f t="shared" si="11"/>
        <v>0</v>
      </c>
      <c r="U55" s="105"/>
      <c r="V55" s="68"/>
      <c r="W55" s="68"/>
      <c r="X55" s="68"/>
      <c r="Y55" s="68"/>
      <c r="Z55" s="68"/>
      <c r="AA55" s="68"/>
      <c r="AB55" s="103">
        <f t="shared" si="12"/>
        <v>0</v>
      </c>
      <c r="AC55" s="105"/>
      <c r="AD55" s="68">
        <f t="shared" si="13"/>
        <v>0</v>
      </c>
      <c r="AE55" s="68" t="str">
        <f t="shared" si="14"/>
        <v/>
      </c>
      <c r="AF55" s="68">
        <f t="shared" si="15"/>
        <v>0</v>
      </c>
      <c r="AG55" s="68">
        <f t="shared" si="16"/>
        <v>0</v>
      </c>
      <c r="AH55" s="68">
        <f t="shared" si="17"/>
        <v>0</v>
      </c>
      <c r="AI55" s="68">
        <f t="shared" si="18"/>
        <v>0</v>
      </c>
      <c r="AJ55" s="103">
        <f t="shared" si="19"/>
        <v>0</v>
      </c>
      <c r="AK55" s="105"/>
      <c r="AL55" s="68"/>
    </row>
    <row r="56" spans="2:38" ht="20.100000000000001" customHeight="1" outlineLevel="1" x14ac:dyDescent="0.3">
      <c r="B56" s="109" t="s">
        <v>623</v>
      </c>
      <c r="C56" s="109" t="s">
        <v>624</v>
      </c>
      <c r="D56" s="109" t="s">
        <v>625</v>
      </c>
      <c r="E56" s="105"/>
      <c r="F56" s="68">
        <v>0</v>
      </c>
      <c r="G56" s="68"/>
      <c r="H56" s="68">
        <v>720000</v>
      </c>
      <c r="I56" s="68"/>
      <c r="J56" s="68"/>
      <c r="K56" s="68"/>
      <c r="L56" s="103">
        <f t="shared" si="10"/>
        <v>720000</v>
      </c>
      <c r="M56" s="105"/>
      <c r="N56" s="68"/>
      <c r="O56" s="68"/>
      <c r="P56" s="68"/>
      <c r="Q56" s="68"/>
      <c r="R56" s="68"/>
      <c r="S56" s="68"/>
      <c r="T56" s="103">
        <f t="shared" si="11"/>
        <v>0</v>
      </c>
      <c r="U56" s="105"/>
      <c r="V56" s="68"/>
      <c r="W56" s="68"/>
      <c r="X56" s="68"/>
      <c r="Y56" s="68"/>
      <c r="Z56" s="68"/>
      <c r="AA56" s="68"/>
      <c r="AB56" s="103">
        <f t="shared" si="12"/>
        <v>0</v>
      </c>
      <c r="AC56" s="105"/>
      <c r="AD56" s="68">
        <f t="shared" si="13"/>
        <v>0</v>
      </c>
      <c r="AE56" s="68" t="str">
        <f t="shared" si="14"/>
        <v/>
      </c>
      <c r="AF56" s="68">
        <f t="shared" si="15"/>
        <v>0</v>
      </c>
      <c r="AG56" s="68">
        <f t="shared" si="16"/>
        <v>0</v>
      </c>
      <c r="AH56" s="68">
        <f t="shared" si="17"/>
        <v>0</v>
      </c>
      <c r="AI56" s="68">
        <f t="shared" si="18"/>
        <v>0</v>
      </c>
      <c r="AJ56" s="103">
        <f t="shared" si="19"/>
        <v>0</v>
      </c>
      <c r="AK56" s="105"/>
      <c r="AL56" s="68"/>
    </row>
    <row r="57" spans="2:38" ht="20.100000000000001" customHeight="1" outlineLevel="1" x14ac:dyDescent="0.3">
      <c r="B57" s="107" t="s">
        <v>555</v>
      </c>
      <c r="C57" s="107" t="s">
        <v>185</v>
      </c>
      <c r="D57" s="107" t="s">
        <v>556</v>
      </c>
      <c r="E57" s="105"/>
      <c r="F57" s="102"/>
      <c r="G57" s="102"/>
      <c r="H57" s="102">
        <f>SUM(H58,H59)</f>
        <v>3432000</v>
      </c>
      <c r="I57" s="102">
        <f>SUM(I58,I59)</f>
        <v>0</v>
      </c>
      <c r="J57" s="102">
        <f>SUM(J58,J59)</f>
        <v>0</v>
      </c>
      <c r="K57" s="102">
        <f>SUM(K58,K59)</f>
        <v>0</v>
      </c>
      <c r="L57" s="103">
        <f t="shared" si="10"/>
        <v>3432000</v>
      </c>
      <c r="M57" s="105"/>
      <c r="N57" s="102"/>
      <c r="O57" s="102"/>
      <c r="P57" s="102">
        <f>SUM(P58,P59)</f>
        <v>284200</v>
      </c>
      <c r="Q57" s="102">
        <f>SUM(Q58,Q59)</f>
        <v>0</v>
      </c>
      <c r="R57" s="102">
        <f>SUM(R58,R59)</f>
        <v>0</v>
      </c>
      <c r="S57" s="102">
        <f>SUM(S58,S59)</f>
        <v>15475</v>
      </c>
      <c r="T57" s="103">
        <f t="shared" si="11"/>
        <v>299675</v>
      </c>
      <c r="U57" s="105"/>
      <c r="V57" s="102"/>
      <c r="W57" s="102"/>
      <c r="X57" s="102">
        <f>SUM(X58,X59)</f>
        <v>0</v>
      </c>
      <c r="Y57" s="102">
        <f>SUM(Y58,Y59)</f>
        <v>0</v>
      </c>
      <c r="Z57" s="102">
        <f>SUM(Z58,Z59)</f>
        <v>0</v>
      </c>
      <c r="AA57" s="102">
        <f>SUM(AA58,AA59)</f>
        <v>0</v>
      </c>
      <c r="AB57" s="103">
        <f t="shared" si="12"/>
        <v>0</v>
      </c>
      <c r="AC57" s="105"/>
      <c r="AD57" s="102">
        <f t="shared" si="13"/>
        <v>0</v>
      </c>
      <c r="AE57" s="102" t="str">
        <f t="shared" si="14"/>
        <v/>
      </c>
      <c r="AF57" s="102">
        <f t="shared" si="15"/>
        <v>284200</v>
      </c>
      <c r="AG57" s="102">
        <f t="shared" si="16"/>
        <v>0</v>
      </c>
      <c r="AH57" s="102">
        <f t="shared" si="17"/>
        <v>0</v>
      </c>
      <c r="AI57" s="102">
        <f t="shared" si="18"/>
        <v>15475</v>
      </c>
      <c r="AJ57" s="103">
        <f t="shared" si="19"/>
        <v>299675</v>
      </c>
      <c r="AK57" s="105"/>
      <c r="AL57" s="102"/>
    </row>
    <row r="58" spans="2:38" ht="20.100000000000001" customHeight="1" outlineLevel="1" x14ac:dyDescent="0.3">
      <c r="B58" s="110" t="s">
        <v>560</v>
      </c>
      <c r="C58" s="110" t="s">
        <v>186</v>
      </c>
      <c r="D58" s="110" t="s">
        <v>561</v>
      </c>
      <c r="E58" s="105"/>
      <c r="F58" s="68">
        <v>0</v>
      </c>
      <c r="G58" s="68"/>
      <c r="H58" s="68">
        <v>1944000</v>
      </c>
      <c r="I58" s="68"/>
      <c r="J58" s="68"/>
      <c r="K58" s="68"/>
      <c r="L58" s="103">
        <f t="shared" si="10"/>
        <v>1944000</v>
      </c>
      <c r="M58" s="105"/>
      <c r="N58" s="68">
        <v>222</v>
      </c>
      <c r="O58" s="68" t="s">
        <v>548</v>
      </c>
      <c r="P58" s="68">
        <v>276200</v>
      </c>
      <c r="Q58" s="68">
        <v>0</v>
      </c>
      <c r="R58" s="68">
        <v>0</v>
      </c>
      <c r="S58" s="68">
        <v>15475</v>
      </c>
      <c r="T58" s="103">
        <f t="shared" si="11"/>
        <v>291675</v>
      </c>
      <c r="U58" s="105"/>
      <c r="V58" s="68"/>
      <c r="W58" s="68"/>
      <c r="X58" s="68"/>
      <c r="Y58" s="68"/>
      <c r="Z58" s="68"/>
      <c r="AA58" s="68"/>
      <c r="AB58" s="103">
        <f t="shared" si="12"/>
        <v>0</v>
      </c>
      <c r="AC58" s="105"/>
      <c r="AD58" s="68">
        <f t="shared" si="13"/>
        <v>222</v>
      </c>
      <c r="AE58" s="68" t="str">
        <f t="shared" si="14"/>
        <v/>
      </c>
      <c r="AF58" s="68">
        <f t="shared" si="15"/>
        <v>276200</v>
      </c>
      <c r="AG58" s="68">
        <f t="shared" si="16"/>
        <v>0</v>
      </c>
      <c r="AH58" s="68">
        <f t="shared" si="17"/>
        <v>0</v>
      </c>
      <c r="AI58" s="68">
        <f t="shared" si="18"/>
        <v>15475</v>
      </c>
      <c r="AJ58" s="103">
        <f t="shared" si="19"/>
        <v>291675</v>
      </c>
      <c r="AK58" s="105"/>
      <c r="AL58" s="68"/>
    </row>
    <row r="59" spans="2:38" ht="20.100000000000001" customHeight="1" outlineLevel="1" x14ac:dyDescent="0.3">
      <c r="B59" s="108" t="s">
        <v>562</v>
      </c>
      <c r="C59" s="108" t="s">
        <v>187</v>
      </c>
      <c r="D59" s="108" t="s">
        <v>563</v>
      </c>
      <c r="E59" s="105"/>
      <c r="F59" s="102"/>
      <c r="G59" s="102"/>
      <c r="H59" s="102">
        <f>H60</f>
        <v>1488000</v>
      </c>
      <c r="I59" s="102">
        <f>I60</f>
        <v>0</v>
      </c>
      <c r="J59" s="102">
        <f>J60</f>
        <v>0</v>
      </c>
      <c r="K59" s="102">
        <f>K60</f>
        <v>0</v>
      </c>
      <c r="L59" s="103">
        <f t="shared" si="10"/>
        <v>1488000</v>
      </c>
      <c r="M59" s="105"/>
      <c r="N59" s="102"/>
      <c r="O59" s="102"/>
      <c r="P59" s="102">
        <f>P60</f>
        <v>8000</v>
      </c>
      <c r="Q59" s="102">
        <f>Q60</f>
        <v>0</v>
      </c>
      <c r="R59" s="102">
        <f>R60</f>
        <v>0</v>
      </c>
      <c r="S59" s="102">
        <f>S60</f>
        <v>0</v>
      </c>
      <c r="T59" s="103">
        <f t="shared" si="11"/>
        <v>8000</v>
      </c>
      <c r="U59" s="105"/>
      <c r="V59" s="102"/>
      <c r="W59" s="102"/>
      <c r="X59" s="102">
        <f>X60</f>
        <v>0</v>
      </c>
      <c r="Y59" s="102">
        <f>Y60</f>
        <v>0</v>
      </c>
      <c r="Z59" s="102">
        <f>Z60</f>
        <v>0</v>
      </c>
      <c r="AA59" s="102">
        <f>AA60</f>
        <v>0</v>
      </c>
      <c r="AB59" s="103">
        <f t="shared" si="12"/>
        <v>0</v>
      </c>
      <c r="AC59" s="105"/>
      <c r="AD59" s="102">
        <f t="shared" si="13"/>
        <v>0</v>
      </c>
      <c r="AE59" s="102" t="str">
        <f t="shared" si="14"/>
        <v/>
      </c>
      <c r="AF59" s="102">
        <f t="shared" si="15"/>
        <v>8000</v>
      </c>
      <c r="AG59" s="102">
        <f t="shared" si="16"/>
        <v>0</v>
      </c>
      <c r="AH59" s="102">
        <f t="shared" si="17"/>
        <v>0</v>
      </c>
      <c r="AI59" s="102">
        <f t="shared" si="18"/>
        <v>0</v>
      </c>
      <c r="AJ59" s="103">
        <f t="shared" si="19"/>
        <v>8000</v>
      </c>
      <c r="AK59" s="105"/>
      <c r="AL59" s="102"/>
    </row>
    <row r="60" spans="2:38" ht="20.100000000000001" customHeight="1" outlineLevel="1" x14ac:dyDescent="0.3">
      <c r="B60" s="109" t="s">
        <v>626</v>
      </c>
      <c r="C60" s="109" t="s">
        <v>189</v>
      </c>
      <c r="D60" s="109" t="s">
        <v>627</v>
      </c>
      <c r="E60" s="105"/>
      <c r="F60" s="68">
        <v>0</v>
      </c>
      <c r="G60" s="68"/>
      <c r="H60" s="68">
        <v>1488000</v>
      </c>
      <c r="I60" s="68"/>
      <c r="J60" s="68"/>
      <c r="K60" s="68"/>
      <c r="L60" s="103">
        <f t="shared" si="10"/>
        <v>1488000</v>
      </c>
      <c r="M60" s="105"/>
      <c r="N60" s="68">
        <v>2000</v>
      </c>
      <c r="O60" s="68" t="s">
        <v>546</v>
      </c>
      <c r="P60" s="68">
        <v>8000</v>
      </c>
      <c r="Q60" s="68">
        <v>0</v>
      </c>
      <c r="R60" s="68">
        <v>0</v>
      </c>
      <c r="S60" s="68">
        <v>0</v>
      </c>
      <c r="T60" s="103">
        <f t="shared" si="11"/>
        <v>8000</v>
      </c>
      <c r="U60" s="105"/>
      <c r="V60" s="68"/>
      <c r="W60" s="68"/>
      <c r="X60" s="68"/>
      <c r="Y60" s="68"/>
      <c r="Z60" s="68"/>
      <c r="AA60" s="68"/>
      <c r="AB60" s="103">
        <f t="shared" si="12"/>
        <v>0</v>
      </c>
      <c r="AC60" s="105"/>
      <c r="AD60" s="68">
        <f t="shared" si="13"/>
        <v>2000</v>
      </c>
      <c r="AE60" s="68" t="str">
        <f t="shared" si="14"/>
        <v/>
      </c>
      <c r="AF60" s="68">
        <f t="shared" si="15"/>
        <v>8000</v>
      </c>
      <c r="AG60" s="68">
        <f t="shared" si="16"/>
        <v>0</v>
      </c>
      <c r="AH60" s="68">
        <f t="shared" si="17"/>
        <v>0</v>
      </c>
      <c r="AI60" s="68">
        <f t="shared" si="18"/>
        <v>0</v>
      </c>
      <c r="AJ60" s="103">
        <f t="shared" si="19"/>
        <v>8000</v>
      </c>
      <c r="AK60" s="105"/>
      <c r="AL60" s="68"/>
    </row>
    <row r="61" spans="2:38" ht="20.100000000000001" customHeight="1" outlineLevel="1" x14ac:dyDescent="0.3">
      <c r="B61" s="107" t="s">
        <v>492</v>
      </c>
      <c r="C61" s="107" t="s">
        <v>195</v>
      </c>
      <c r="D61" s="107" t="s">
        <v>493</v>
      </c>
      <c r="E61" s="105"/>
      <c r="F61" s="102"/>
      <c r="G61" s="102"/>
      <c r="H61" s="102">
        <f>SUM(H62,H64,H67)</f>
        <v>641000</v>
      </c>
      <c r="I61" s="102">
        <f>SUM(I62,I64,I67)</f>
        <v>0</v>
      </c>
      <c r="J61" s="102">
        <f>SUM(J62,J64,J67)</f>
        <v>6528000</v>
      </c>
      <c r="K61" s="102">
        <f>SUM(K62,K64,K67)</f>
        <v>0</v>
      </c>
      <c r="L61" s="103">
        <f t="shared" si="10"/>
        <v>7169000</v>
      </c>
      <c r="M61" s="105"/>
      <c r="N61" s="102"/>
      <c r="O61" s="102"/>
      <c r="P61" s="102">
        <f>SUM(P62,P64,P67)</f>
        <v>0</v>
      </c>
      <c r="Q61" s="102">
        <f>SUM(Q62,Q64,Q67)</f>
        <v>0</v>
      </c>
      <c r="R61" s="102">
        <f>SUM(R62,R64,R67)</f>
        <v>31620</v>
      </c>
      <c r="S61" s="102">
        <f>SUM(S62,S64,S67)</f>
        <v>0</v>
      </c>
      <c r="T61" s="103">
        <f t="shared" si="11"/>
        <v>31620</v>
      </c>
      <c r="U61" s="105"/>
      <c r="V61" s="102"/>
      <c r="W61" s="102"/>
      <c r="X61" s="102">
        <f>SUM(X62,X64,X67)</f>
        <v>0</v>
      </c>
      <c r="Y61" s="102">
        <f>SUM(Y62,Y64,Y67)</f>
        <v>0</v>
      </c>
      <c r="Z61" s="102">
        <f>SUM(Z62,Z64,Z67)</f>
        <v>0</v>
      </c>
      <c r="AA61" s="102">
        <f>SUM(AA62,AA64,AA67)</f>
        <v>0</v>
      </c>
      <c r="AB61" s="103">
        <f t="shared" si="12"/>
        <v>0</v>
      </c>
      <c r="AC61" s="105"/>
      <c r="AD61" s="102">
        <f t="shared" si="13"/>
        <v>0</v>
      </c>
      <c r="AE61" s="102" t="str">
        <f t="shared" si="14"/>
        <v/>
      </c>
      <c r="AF61" s="102">
        <f t="shared" si="15"/>
        <v>0</v>
      </c>
      <c r="AG61" s="102">
        <f t="shared" si="16"/>
        <v>0</v>
      </c>
      <c r="AH61" s="102">
        <f t="shared" si="17"/>
        <v>31620</v>
      </c>
      <c r="AI61" s="102">
        <f t="shared" si="18"/>
        <v>0</v>
      </c>
      <c r="AJ61" s="103">
        <f t="shared" si="19"/>
        <v>31620</v>
      </c>
      <c r="AK61" s="105"/>
      <c r="AL61" s="102"/>
    </row>
    <row r="62" spans="2:38" ht="20.100000000000001" customHeight="1" outlineLevel="1" x14ac:dyDescent="0.3">
      <c r="B62" s="108" t="s">
        <v>549</v>
      </c>
      <c r="C62" s="108" t="s">
        <v>550</v>
      </c>
      <c r="D62" s="108" t="s">
        <v>551</v>
      </c>
      <c r="E62" s="105"/>
      <c r="F62" s="102"/>
      <c r="G62" s="102"/>
      <c r="H62" s="102">
        <f>H63</f>
        <v>65000</v>
      </c>
      <c r="I62" s="102">
        <f>I63</f>
        <v>0</v>
      </c>
      <c r="J62" s="102">
        <f>J63</f>
        <v>0</v>
      </c>
      <c r="K62" s="102">
        <f>K63</f>
        <v>0</v>
      </c>
      <c r="L62" s="103">
        <f t="shared" si="10"/>
        <v>65000</v>
      </c>
      <c r="M62" s="105"/>
      <c r="N62" s="102"/>
      <c r="O62" s="102"/>
      <c r="P62" s="102">
        <f>P63</f>
        <v>0</v>
      </c>
      <c r="Q62" s="102">
        <f>Q63</f>
        <v>0</v>
      </c>
      <c r="R62" s="102">
        <f>R63</f>
        <v>31620</v>
      </c>
      <c r="S62" s="102">
        <f>S63</f>
        <v>0</v>
      </c>
      <c r="T62" s="103">
        <f t="shared" si="11"/>
        <v>31620</v>
      </c>
      <c r="U62" s="105"/>
      <c r="V62" s="102"/>
      <c r="W62" s="102"/>
      <c r="X62" s="102">
        <f>X63</f>
        <v>0</v>
      </c>
      <c r="Y62" s="102">
        <f>Y63</f>
        <v>0</v>
      </c>
      <c r="Z62" s="102">
        <f>Z63</f>
        <v>0</v>
      </c>
      <c r="AA62" s="102">
        <f>AA63</f>
        <v>0</v>
      </c>
      <c r="AB62" s="103">
        <f t="shared" si="12"/>
        <v>0</v>
      </c>
      <c r="AC62" s="105"/>
      <c r="AD62" s="102">
        <f t="shared" si="13"/>
        <v>0</v>
      </c>
      <c r="AE62" s="102" t="str">
        <f t="shared" si="14"/>
        <v/>
      </c>
      <c r="AF62" s="102">
        <f t="shared" si="15"/>
        <v>0</v>
      </c>
      <c r="AG62" s="102">
        <f t="shared" si="16"/>
        <v>0</v>
      </c>
      <c r="AH62" s="102">
        <f t="shared" si="17"/>
        <v>31620</v>
      </c>
      <c r="AI62" s="102">
        <f t="shared" si="18"/>
        <v>0</v>
      </c>
      <c r="AJ62" s="103">
        <f t="shared" si="19"/>
        <v>31620</v>
      </c>
      <c r="AK62" s="105"/>
      <c r="AL62" s="102"/>
    </row>
    <row r="63" spans="2:38" ht="20.100000000000001" customHeight="1" outlineLevel="1" x14ac:dyDescent="0.3">
      <c r="B63" s="109" t="s">
        <v>628</v>
      </c>
      <c r="C63" s="109" t="s">
        <v>629</v>
      </c>
      <c r="D63" s="109" t="s">
        <v>630</v>
      </c>
      <c r="E63" s="105"/>
      <c r="F63" s="68">
        <v>0</v>
      </c>
      <c r="G63" s="68"/>
      <c r="H63" s="68">
        <v>65000</v>
      </c>
      <c r="I63" s="68"/>
      <c r="J63" s="68"/>
      <c r="K63" s="68"/>
      <c r="L63" s="103">
        <f t="shared" si="10"/>
        <v>65000</v>
      </c>
      <c r="M63" s="105"/>
      <c r="N63" s="68">
        <v>51</v>
      </c>
      <c r="O63" s="68" t="s">
        <v>548</v>
      </c>
      <c r="P63" s="68">
        <v>0</v>
      </c>
      <c r="Q63" s="68">
        <v>0</v>
      </c>
      <c r="R63" s="68">
        <v>31620</v>
      </c>
      <c r="S63" s="68">
        <v>0</v>
      </c>
      <c r="T63" s="103">
        <f t="shared" si="11"/>
        <v>31620</v>
      </c>
      <c r="U63" s="105"/>
      <c r="V63" s="68"/>
      <c r="W63" s="68"/>
      <c r="X63" s="68"/>
      <c r="Y63" s="68"/>
      <c r="Z63" s="68"/>
      <c r="AA63" s="68"/>
      <c r="AB63" s="103">
        <f t="shared" si="12"/>
        <v>0</v>
      </c>
      <c r="AC63" s="105"/>
      <c r="AD63" s="68">
        <f t="shared" si="13"/>
        <v>51</v>
      </c>
      <c r="AE63" s="68" t="str">
        <f t="shared" si="14"/>
        <v/>
      </c>
      <c r="AF63" s="68">
        <f t="shared" si="15"/>
        <v>0</v>
      </c>
      <c r="AG63" s="68">
        <f t="shared" si="16"/>
        <v>0</v>
      </c>
      <c r="AH63" s="68">
        <f t="shared" si="17"/>
        <v>31620</v>
      </c>
      <c r="AI63" s="68">
        <f t="shared" si="18"/>
        <v>0</v>
      </c>
      <c r="AJ63" s="103">
        <f t="shared" si="19"/>
        <v>31620</v>
      </c>
      <c r="AK63" s="105"/>
      <c r="AL63" s="68"/>
    </row>
    <row r="64" spans="2:38" ht="20.100000000000001" customHeight="1" outlineLevel="1" x14ac:dyDescent="0.3">
      <c r="B64" s="108" t="s">
        <v>631</v>
      </c>
      <c r="C64" s="108" t="s">
        <v>196</v>
      </c>
      <c r="D64" s="108" t="s">
        <v>632</v>
      </c>
      <c r="E64" s="105"/>
      <c r="F64" s="102"/>
      <c r="G64" s="102"/>
      <c r="H64" s="102">
        <f>SUM(H65,H66)</f>
        <v>0</v>
      </c>
      <c r="I64" s="102">
        <f>SUM(I65,I66)</f>
        <v>0</v>
      </c>
      <c r="J64" s="102">
        <f>SUM(J65,J66)</f>
        <v>6528000</v>
      </c>
      <c r="K64" s="102">
        <f>SUM(K65,K66)</f>
        <v>0</v>
      </c>
      <c r="L64" s="103">
        <f t="shared" si="10"/>
        <v>6528000</v>
      </c>
      <c r="M64" s="105"/>
      <c r="N64" s="102"/>
      <c r="O64" s="102"/>
      <c r="P64" s="102">
        <f>SUM(P65,P66)</f>
        <v>0</v>
      </c>
      <c r="Q64" s="102">
        <f>SUM(Q65,Q66)</f>
        <v>0</v>
      </c>
      <c r="R64" s="102">
        <f>SUM(R65,R66)</f>
        <v>0</v>
      </c>
      <c r="S64" s="102">
        <f>SUM(S65,S66)</f>
        <v>0</v>
      </c>
      <c r="T64" s="103">
        <f t="shared" si="11"/>
        <v>0</v>
      </c>
      <c r="U64" s="105"/>
      <c r="V64" s="102"/>
      <c r="W64" s="102"/>
      <c r="X64" s="102">
        <f>SUM(X65,X66)</f>
        <v>0</v>
      </c>
      <c r="Y64" s="102">
        <f>SUM(Y65,Y66)</f>
        <v>0</v>
      </c>
      <c r="Z64" s="102">
        <f>SUM(Z65,Z66)</f>
        <v>0</v>
      </c>
      <c r="AA64" s="102">
        <f>SUM(AA65,AA66)</f>
        <v>0</v>
      </c>
      <c r="AB64" s="103">
        <f t="shared" si="12"/>
        <v>0</v>
      </c>
      <c r="AC64" s="105"/>
      <c r="AD64" s="102">
        <f t="shared" si="13"/>
        <v>0</v>
      </c>
      <c r="AE64" s="102" t="str">
        <f t="shared" si="14"/>
        <v/>
      </c>
      <c r="AF64" s="102">
        <f t="shared" si="15"/>
        <v>0</v>
      </c>
      <c r="AG64" s="102">
        <f t="shared" si="16"/>
        <v>0</v>
      </c>
      <c r="AH64" s="102">
        <f t="shared" si="17"/>
        <v>0</v>
      </c>
      <c r="AI64" s="102">
        <f t="shared" si="18"/>
        <v>0</v>
      </c>
      <c r="AJ64" s="103">
        <f t="shared" si="19"/>
        <v>0</v>
      </c>
      <c r="AK64" s="105"/>
      <c r="AL64" s="102"/>
    </row>
    <row r="65" spans="2:38" ht="20.100000000000001" customHeight="1" outlineLevel="1" x14ac:dyDescent="0.3">
      <c r="B65" s="109" t="s">
        <v>633</v>
      </c>
      <c r="C65" s="109" t="s">
        <v>634</v>
      </c>
      <c r="D65" s="109" t="s">
        <v>635</v>
      </c>
      <c r="E65" s="105"/>
      <c r="F65" s="68">
        <v>0</v>
      </c>
      <c r="G65" s="68"/>
      <c r="H65" s="68"/>
      <c r="I65" s="68"/>
      <c r="J65" s="68">
        <v>4824000</v>
      </c>
      <c r="K65" s="68"/>
      <c r="L65" s="103">
        <f t="shared" si="10"/>
        <v>4824000</v>
      </c>
      <c r="M65" s="105"/>
      <c r="N65" s="68"/>
      <c r="O65" s="68"/>
      <c r="P65" s="68"/>
      <c r="Q65" s="68"/>
      <c r="R65" s="68"/>
      <c r="S65" s="68"/>
      <c r="T65" s="103">
        <f t="shared" si="11"/>
        <v>0</v>
      </c>
      <c r="U65" s="105"/>
      <c r="V65" s="68"/>
      <c r="W65" s="68"/>
      <c r="X65" s="68"/>
      <c r="Y65" s="68"/>
      <c r="Z65" s="68"/>
      <c r="AA65" s="68"/>
      <c r="AB65" s="103">
        <f t="shared" si="12"/>
        <v>0</v>
      </c>
      <c r="AC65" s="105"/>
      <c r="AD65" s="68">
        <f t="shared" si="13"/>
        <v>0</v>
      </c>
      <c r="AE65" s="68" t="str">
        <f t="shared" si="14"/>
        <v/>
      </c>
      <c r="AF65" s="68">
        <f t="shared" si="15"/>
        <v>0</v>
      </c>
      <c r="AG65" s="68">
        <f t="shared" si="16"/>
        <v>0</v>
      </c>
      <c r="AH65" s="68">
        <f t="shared" si="17"/>
        <v>0</v>
      </c>
      <c r="AI65" s="68">
        <f t="shared" si="18"/>
        <v>0</v>
      </c>
      <c r="AJ65" s="103">
        <f t="shared" si="19"/>
        <v>0</v>
      </c>
      <c r="AK65" s="105"/>
      <c r="AL65" s="68"/>
    </row>
    <row r="66" spans="2:38" ht="20.100000000000001" customHeight="1" outlineLevel="1" x14ac:dyDescent="0.3">
      <c r="B66" s="109" t="s">
        <v>636</v>
      </c>
      <c r="C66" s="109" t="s">
        <v>637</v>
      </c>
      <c r="D66" s="109" t="s">
        <v>638</v>
      </c>
      <c r="E66" s="105"/>
      <c r="F66" s="68">
        <v>0</v>
      </c>
      <c r="G66" s="68"/>
      <c r="H66" s="68"/>
      <c r="I66" s="68"/>
      <c r="J66" s="68">
        <v>1704000</v>
      </c>
      <c r="K66" s="68"/>
      <c r="L66" s="103">
        <f t="shared" si="10"/>
        <v>1704000</v>
      </c>
      <c r="M66" s="105"/>
      <c r="N66" s="68"/>
      <c r="O66" s="68"/>
      <c r="P66" s="68"/>
      <c r="Q66" s="68"/>
      <c r="R66" s="68"/>
      <c r="S66" s="68"/>
      <c r="T66" s="103">
        <f t="shared" si="11"/>
        <v>0</v>
      </c>
      <c r="U66" s="105"/>
      <c r="V66" s="68"/>
      <c r="W66" s="68"/>
      <c r="X66" s="68"/>
      <c r="Y66" s="68"/>
      <c r="Z66" s="68"/>
      <c r="AA66" s="68"/>
      <c r="AB66" s="103">
        <f t="shared" si="12"/>
        <v>0</v>
      </c>
      <c r="AC66" s="105"/>
      <c r="AD66" s="68">
        <f t="shared" si="13"/>
        <v>0</v>
      </c>
      <c r="AE66" s="68" t="str">
        <f t="shared" si="14"/>
        <v/>
      </c>
      <c r="AF66" s="68">
        <f t="shared" si="15"/>
        <v>0</v>
      </c>
      <c r="AG66" s="68">
        <f t="shared" si="16"/>
        <v>0</v>
      </c>
      <c r="AH66" s="68">
        <f t="shared" si="17"/>
        <v>0</v>
      </c>
      <c r="AI66" s="68">
        <f t="shared" si="18"/>
        <v>0</v>
      </c>
      <c r="AJ66" s="103">
        <f t="shared" si="19"/>
        <v>0</v>
      </c>
      <c r="AK66" s="105"/>
      <c r="AL66" s="68"/>
    </row>
    <row r="67" spans="2:38" ht="20.100000000000001" customHeight="1" outlineLevel="1" x14ac:dyDescent="0.3">
      <c r="B67" s="110" t="s">
        <v>639</v>
      </c>
      <c r="C67" s="110" t="s">
        <v>640</v>
      </c>
      <c r="D67" s="110" t="s">
        <v>641</v>
      </c>
      <c r="E67" s="105"/>
      <c r="F67" s="68">
        <v>0</v>
      </c>
      <c r="G67" s="68"/>
      <c r="H67" s="68">
        <v>576000</v>
      </c>
      <c r="I67" s="68"/>
      <c r="J67" s="68"/>
      <c r="K67" s="68"/>
      <c r="L67" s="103">
        <f t="shared" si="10"/>
        <v>576000</v>
      </c>
      <c r="M67" s="105"/>
      <c r="N67" s="68"/>
      <c r="O67" s="68"/>
      <c r="P67" s="68"/>
      <c r="Q67" s="68"/>
      <c r="R67" s="68"/>
      <c r="S67" s="68"/>
      <c r="T67" s="103">
        <f t="shared" si="11"/>
        <v>0</v>
      </c>
      <c r="U67" s="105"/>
      <c r="V67" s="68"/>
      <c r="W67" s="68"/>
      <c r="X67" s="68"/>
      <c r="Y67" s="68"/>
      <c r="Z67" s="68"/>
      <c r="AA67" s="68"/>
      <c r="AB67" s="103">
        <f t="shared" si="12"/>
        <v>0</v>
      </c>
      <c r="AC67" s="105"/>
      <c r="AD67" s="68">
        <f t="shared" si="13"/>
        <v>0</v>
      </c>
      <c r="AE67" s="68" t="str">
        <f t="shared" si="14"/>
        <v/>
      </c>
      <c r="AF67" s="68">
        <f t="shared" si="15"/>
        <v>0</v>
      </c>
      <c r="AG67" s="68">
        <f t="shared" si="16"/>
        <v>0</v>
      </c>
      <c r="AH67" s="68">
        <f t="shared" si="17"/>
        <v>0</v>
      </c>
      <c r="AI67" s="68">
        <f t="shared" si="18"/>
        <v>0</v>
      </c>
      <c r="AJ67" s="103">
        <f t="shared" si="19"/>
        <v>0</v>
      </c>
      <c r="AK67" s="105"/>
      <c r="AL67" s="68"/>
    </row>
    <row r="68" spans="2:38" ht="20.100000000000001" customHeight="1" outlineLevel="1" x14ac:dyDescent="0.3">
      <c r="B68" s="107" t="s">
        <v>494</v>
      </c>
      <c r="C68" s="107" t="s">
        <v>198</v>
      </c>
      <c r="D68" s="107" t="s">
        <v>495</v>
      </c>
      <c r="E68" s="105"/>
      <c r="F68" s="102"/>
      <c r="G68" s="102"/>
      <c r="H68" s="102">
        <f>SUM(H69,H74,H75)</f>
        <v>43527920</v>
      </c>
      <c r="I68" s="102">
        <f>SUM(I69,I74,I75)</f>
        <v>0</v>
      </c>
      <c r="J68" s="102">
        <f>SUM(J69,J74,J75)</f>
        <v>0</v>
      </c>
      <c r="K68" s="102">
        <f>SUM(K69,K74,K75)</f>
        <v>0</v>
      </c>
      <c r="L68" s="103">
        <f t="shared" si="10"/>
        <v>43527920</v>
      </c>
      <c r="M68" s="105"/>
      <c r="N68" s="102"/>
      <c r="O68" s="102"/>
      <c r="P68" s="102">
        <f>SUM(P69,P74,P75)</f>
        <v>0</v>
      </c>
      <c r="Q68" s="102">
        <f>SUM(Q69,Q74,Q75)</f>
        <v>5715555.29</v>
      </c>
      <c r="R68" s="102">
        <f>SUM(R69,R74,R75)</f>
        <v>0</v>
      </c>
      <c r="S68" s="102">
        <f>SUM(S69,S74,S75)</f>
        <v>19335.060000000001</v>
      </c>
      <c r="T68" s="103">
        <f t="shared" si="11"/>
        <v>5734890.3499999996</v>
      </c>
      <c r="U68" s="105"/>
      <c r="V68" s="102"/>
      <c r="W68" s="102"/>
      <c r="X68" s="102">
        <f>SUM(X69,X74,X75)</f>
        <v>0</v>
      </c>
      <c r="Y68" s="102">
        <f>SUM(Y69,Y74,Y75)</f>
        <v>0</v>
      </c>
      <c r="Z68" s="102">
        <f>SUM(Z69,Z74,Z75)</f>
        <v>0</v>
      </c>
      <c r="AA68" s="102">
        <f>SUM(AA69,AA74,AA75)</f>
        <v>0</v>
      </c>
      <c r="AB68" s="103">
        <f t="shared" si="12"/>
        <v>0</v>
      </c>
      <c r="AC68" s="105"/>
      <c r="AD68" s="102">
        <f t="shared" si="13"/>
        <v>0</v>
      </c>
      <c r="AE68" s="102" t="str">
        <f t="shared" si="14"/>
        <v/>
      </c>
      <c r="AF68" s="102">
        <f t="shared" si="15"/>
        <v>0</v>
      </c>
      <c r="AG68" s="102">
        <f t="shared" si="16"/>
        <v>5715555.29</v>
      </c>
      <c r="AH68" s="102">
        <f t="shared" si="17"/>
        <v>0</v>
      </c>
      <c r="AI68" s="102">
        <f t="shared" si="18"/>
        <v>19335.060000000001</v>
      </c>
      <c r="AJ68" s="103">
        <f t="shared" si="19"/>
        <v>5734890.3499999996</v>
      </c>
      <c r="AK68" s="105"/>
      <c r="AL68" s="102"/>
    </row>
    <row r="69" spans="2:38" ht="20.100000000000001" customHeight="1" outlineLevel="1" x14ac:dyDescent="0.3">
      <c r="B69" s="108" t="s">
        <v>496</v>
      </c>
      <c r="C69" s="108" t="s">
        <v>199</v>
      </c>
      <c r="D69" s="108" t="s">
        <v>497</v>
      </c>
      <c r="E69" s="105"/>
      <c r="F69" s="102"/>
      <c r="G69" s="102"/>
      <c r="H69" s="102">
        <f>SUM(H70,H72)</f>
        <v>43447920</v>
      </c>
      <c r="I69" s="102">
        <f>SUM(I70,I72)</f>
        <v>0</v>
      </c>
      <c r="J69" s="102">
        <f>SUM(J70,J72)</f>
        <v>0</v>
      </c>
      <c r="K69" s="102">
        <f>SUM(K70,K72)</f>
        <v>0</v>
      </c>
      <c r="L69" s="103">
        <f t="shared" si="10"/>
        <v>43447920</v>
      </c>
      <c r="M69" s="105"/>
      <c r="N69" s="102"/>
      <c r="O69" s="102"/>
      <c r="P69" s="102">
        <f>SUM(P70,P72)</f>
        <v>0</v>
      </c>
      <c r="Q69" s="102">
        <f>SUM(Q70,Q72)</f>
        <v>5715555.29</v>
      </c>
      <c r="R69" s="102">
        <f>SUM(R70,R72)</f>
        <v>0</v>
      </c>
      <c r="S69" s="102">
        <f>SUM(S70,S72)</f>
        <v>0</v>
      </c>
      <c r="T69" s="103">
        <f t="shared" si="11"/>
        <v>5715555.29</v>
      </c>
      <c r="U69" s="105"/>
      <c r="V69" s="102"/>
      <c r="W69" s="102"/>
      <c r="X69" s="102">
        <f>SUM(X70,X72)</f>
        <v>0</v>
      </c>
      <c r="Y69" s="102">
        <f>SUM(Y70,Y72)</f>
        <v>0</v>
      </c>
      <c r="Z69" s="102">
        <f>SUM(Z70,Z72)</f>
        <v>0</v>
      </c>
      <c r="AA69" s="102">
        <f>SUM(AA70,AA72)</f>
        <v>0</v>
      </c>
      <c r="AB69" s="103">
        <f t="shared" si="12"/>
        <v>0</v>
      </c>
      <c r="AC69" s="105"/>
      <c r="AD69" s="102">
        <f t="shared" si="13"/>
        <v>0</v>
      </c>
      <c r="AE69" s="102" t="str">
        <f t="shared" si="14"/>
        <v/>
      </c>
      <c r="AF69" s="102">
        <f t="shared" si="15"/>
        <v>0</v>
      </c>
      <c r="AG69" s="102">
        <f t="shared" si="16"/>
        <v>5715555.29</v>
      </c>
      <c r="AH69" s="102">
        <f t="shared" si="17"/>
        <v>0</v>
      </c>
      <c r="AI69" s="102">
        <f t="shared" si="18"/>
        <v>0</v>
      </c>
      <c r="AJ69" s="103">
        <f t="shared" si="19"/>
        <v>5715555.29</v>
      </c>
      <c r="AK69" s="105"/>
      <c r="AL69" s="102"/>
    </row>
    <row r="70" spans="2:38" ht="20.100000000000001" customHeight="1" outlineLevel="1" x14ac:dyDescent="0.3">
      <c r="B70" s="111" t="s">
        <v>498</v>
      </c>
      <c r="C70" s="111" t="s">
        <v>200</v>
      </c>
      <c r="D70" s="111" t="s">
        <v>499</v>
      </c>
      <c r="E70" s="105"/>
      <c r="F70" s="102"/>
      <c r="G70" s="102"/>
      <c r="H70" s="102">
        <f>H71</f>
        <v>9750000</v>
      </c>
      <c r="I70" s="102">
        <f>I71</f>
        <v>0</v>
      </c>
      <c r="J70" s="102">
        <f>J71</f>
        <v>0</v>
      </c>
      <c r="K70" s="102">
        <f>K71</f>
        <v>0</v>
      </c>
      <c r="L70" s="103">
        <f t="shared" si="10"/>
        <v>9750000</v>
      </c>
      <c r="M70" s="105"/>
      <c r="N70" s="102"/>
      <c r="O70" s="102"/>
      <c r="P70" s="102">
        <f>P71</f>
        <v>0</v>
      </c>
      <c r="Q70" s="102">
        <f>Q71</f>
        <v>5715555.29</v>
      </c>
      <c r="R70" s="102">
        <f>R71</f>
        <v>0</v>
      </c>
      <c r="S70" s="102">
        <f>S71</f>
        <v>0</v>
      </c>
      <c r="T70" s="103">
        <f t="shared" si="11"/>
        <v>5715555.29</v>
      </c>
      <c r="U70" s="105"/>
      <c r="V70" s="102"/>
      <c r="W70" s="102"/>
      <c r="X70" s="102">
        <f>X71</f>
        <v>0</v>
      </c>
      <c r="Y70" s="102">
        <f>Y71</f>
        <v>0</v>
      </c>
      <c r="Z70" s="102">
        <f>Z71</f>
        <v>0</v>
      </c>
      <c r="AA70" s="102">
        <f>AA71</f>
        <v>0</v>
      </c>
      <c r="AB70" s="103">
        <f t="shared" si="12"/>
        <v>0</v>
      </c>
      <c r="AC70" s="105"/>
      <c r="AD70" s="102">
        <f t="shared" si="13"/>
        <v>0</v>
      </c>
      <c r="AE70" s="102" t="str">
        <f t="shared" si="14"/>
        <v/>
      </c>
      <c r="AF70" s="102">
        <f t="shared" si="15"/>
        <v>0</v>
      </c>
      <c r="AG70" s="102">
        <f t="shared" si="16"/>
        <v>5715555.29</v>
      </c>
      <c r="AH70" s="102">
        <f t="shared" si="17"/>
        <v>0</v>
      </c>
      <c r="AI70" s="102">
        <f t="shared" si="18"/>
        <v>0</v>
      </c>
      <c r="AJ70" s="103">
        <f t="shared" si="19"/>
        <v>5715555.29</v>
      </c>
      <c r="AK70" s="105"/>
      <c r="AL70" s="102"/>
    </row>
    <row r="71" spans="2:38" ht="20.100000000000001" customHeight="1" outlineLevel="1" x14ac:dyDescent="0.3">
      <c r="B71" s="112" t="s">
        <v>500</v>
      </c>
      <c r="C71" s="112" t="s">
        <v>201</v>
      </c>
      <c r="D71" s="112" t="s">
        <v>501</v>
      </c>
      <c r="E71" s="105"/>
      <c r="F71" s="68">
        <v>0</v>
      </c>
      <c r="G71" s="68"/>
      <c r="H71" s="68">
        <v>9750000</v>
      </c>
      <c r="I71" s="68"/>
      <c r="J71" s="68"/>
      <c r="K71" s="68"/>
      <c r="L71" s="103">
        <f t="shared" si="10"/>
        <v>9750000</v>
      </c>
      <c r="M71" s="105"/>
      <c r="N71" s="68">
        <v>0</v>
      </c>
      <c r="O71" s="68"/>
      <c r="P71" s="68">
        <v>0</v>
      </c>
      <c r="Q71" s="68">
        <v>5715555.29</v>
      </c>
      <c r="R71" s="68">
        <v>0</v>
      </c>
      <c r="S71" s="68">
        <v>0</v>
      </c>
      <c r="T71" s="103">
        <f t="shared" si="11"/>
        <v>5715555.29</v>
      </c>
      <c r="U71" s="105"/>
      <c r="V71" s="68"/>
      <c r="W71" s="68"/>
      <c r="X71" s="68"/>
      <c r="Y71" s="68"/>
      <c r="Z71" s="68"/>
      <c r="AA71" s="68"/>
      <c r="AB71" s="103">
        <f t="shared" si="12"/>
        <v>0</v>
      </c>
      <c r="AC71" s="105"/>
      <c r="AD71" s="68">
        <f t="shared" si="13"/>
        <v>0</v>
      </c>
      <c r="AE71" s="68" t="str">
        <f t="shared" si="14"/>
        <v/>
      </c>
      <c r="AF71" s="68">
        <f t="shared" si="15"/>
        <v>0</v>
      </c>
      <c r="AG71" s="68">
        <f t="shared" si="16"/>
        <v>5715555.29</v>
      </c>
      <c r="AH71" s="68">
        <f t="shared" si="17"/>
        <v>0</v>
      </c>
      <c r="AI71" s="68">
        <f t="shared" si="18"/>
        <v>0</v>
      </c>
      <c r="AJ71" s="103">
        <f t="shared" si="19"/>
        <v>5715555.29</v>
      </c>
      <c r="AK71" s="105"/>
      <c r="AL71" s="68"/>
    </row>
    <row r="72" spans="2:38" ht="20.100000000000001" customHeight="1" outlineLevel="1" x14ac:dyDescent="0.3">
      <c r="B72" s="111" t="s">
        <v>502</v>
      </c>
      <c r="C72" s="111" t="s">
        <v>202</v>
      </c>
      <c r="D72" s="111" t="s">
        <v>503</v>
      </c>
      <c r="E72" s="105"/>
      <c r="F72" s="102"/>
      <c r="G72" s="102"/>
      <c r="H72" s="102">
        <f>H73</f>
        <v>33697920</v>
      </c>
      <c r="I72" s="102">
        <f>I73</f>
        <v>0</v>
      </c>
      <c r="J72" s="102">
        <f>J73</f>
        <v>0</v>
      </c>
      <c r="K72" s="102">
        <f>K73</f>
        <v>0</v>
      </c>
      <c r="L72" s="103">
        <f t="shared" si="10"/>
        <v>33697920</v>
      </c>
      <c r="M72" s="105"/>
      <c r="N72" s="102"/>
      <c r="O72" s="102"/>
      <c r="P72" s="102">
        <f>P73</f>
        <v>0</v>
      </c>
      <c r="Q72" s="102">
        <f>Q73</f>
        <v>0</v>
      </c>
      <c r="R72" s="102">
        <f>R73</f>
        <v>0</v>
      </c>
      <c r="S72" s="102">
        <f>S73</f>
        <v>0</v>
      </c>
      <c r="T72" s="103">
        <f t="shared" si="11"/>
        <v>0</v>
      </c>
      <c r="U72" s="105"/>
      <c r="V72" s="102"/>
      <c r="W72" s="102"/>
      <c r="X72" s="102">
        <f>X73</f>
        <v>0</v>
      </c>
      <c r="Y72" s="102">
        <f>Y73</f>
        <v>0</v>
      </c>
      <c r="Z72" s="102">
        <f>Z73</f>
        <v>0</v>
      </c>
      <c r="AA72" s="102">
        <f>AA73</f>
        <v>0</v>
      </c>
      <c r="AB72" s="103">
        <f t="shared" si="12"/>
        <v>0</v>
      </c>
      <c r="AC72" s="105"/>
      <c r="AD72" s="102">
        <f t="shared" si="13"/>
        <v>0</v>
      </c>
      <c r="AE72" s="102" t="str">
        <f t="shared" si="14"/>
        <v/>
      </c>
      <c r="AF72" s="102">
        <f t="shared" si="15"/>
        <v>0</v>
      </c>
      <c r="AG72" s="102">
        <f t="shared" si="16"/>
        <v>0</v>
      </c>
      <c r="AH72" s="102">
        <f t="shared" si="17"/>
        <v>0</v>
      </c>
      <c r="AI72" s="102">
        <f t="shared" si="18"/>
        <v>0</v>
      </c>
      <c r="AJ72" s="103">
        <f t="shared" si="19"/>
        <v>0</v>
      </c>
      <c r="AK72" s="105"/>
      <c r="AL72" s="102"/>
    </row>
    <row r="73" spans="2:38" ht="20.100000000000001" customHeight="1" outlineLevel="1" x14ac:dyDescent="0.3">
      <c r="B73" s="112" t="s">
        <v>504</v>
      </c>
      <c r="C73" s="112" t="s">
        <v>203</v>
      </c>
      <c r="D73" s="112" t="s">
        <v>501</v>
      </c>
      <c r="E73" s="105"/>
      <c r="F73" s="68">
        <v>0</v>
      </c>
      <c r="G73" s="68"/>
      <c r="H73" s="68">
        <v>33697920</v>
      </c>
      <c r="I73" s="68"/>
      <c r="J73" s="68"/>
      <c r="K73" s="68"/>
      <c r="L73" s="103">
        <f t="shared" si="10"/>
        <v>33697920</v>
      </c>
      <c r="M73" s="105"/>
      <c r="N73" s="68"/>
      <c r="O73" s="68"/>
      <c r="P73" s="68"/>
      <c r="Q73" s="68"/>
      <c r="R73" s="68"/>
      <c r="S73" s="68"/>
      <c r="T73" s="103">
        <f t="shared" si="11"/>
        <v>0</v>
      </c>
      <c r="U73" s="105"/>
      <c r="V73" s="68"/>
      <c r="W73" s="68"/>
      <c r="X73" s="68"/>
      <c r="Y73" s="68"/>
      <c r="Z73" s="68"/>
      <c r="AA73" s="68"/>
      <c r="AB73" s="103">
        <f t="shared" si="12"/>
        <v>0</v>
      </c>
      <c r="AC73" s="105"/>
      <c r="AD73" s="68">
        <f t="shared" si="13"/>
        <v>0</v>
      </c>
      <c r="AE73" s="68" t="str">
        <f t="shared" si="14"/>
        <v/>
      </c>
      <c r="AF73" s="68">
        <f t="shared" si="15"/>
        <v>0</v>
      </c>
      <c r="AG73" s="68">
        <f t="shared" si="16"/>
        <v>0</v>
      </c>
      <c r="AH73" s="68">
        <f t="shared" si="17"/>
        <v>0</v>
      </c>
      <c r="AI73" s="68">
        <f t="shared" si="18"/>
        <v>0</v>
      </c>
      <c r="AJ73" s="103">
        <f t="shared" si="19"/>
        <v>0</v>
      </c>
      <c r="AK73" s="105"/>
      <c r="AL73" s="68"/>
    </row>
    <row r="74" spans="2:38" ht="20.100000000000001" customHeight="1" outlineLevel="1" x14ac:dyDescent="0.3">
      <c r="B74" s="110" t="s">
        <v>642</v>
      </c>
      <c r="C74" s="110" t="s">
        <v>643</v>
      </c>
      <c r="D74" s="110" t="s">
        <v>644</v>
      </c>
      <c r="E74" s="105"/>
      <c r="F74" s="68">
        <v>0</v>
      </c>
      <c r="G74" s="68"/>
      <c r="H74" s="68">
        <v>80000</v>
      </c>
      <c r="I74" s="68"/>
      <c r="J74" s="68"/>
      <c r="K74" s="68"/>
      <c r="L74" s="103">
        <f t="shared" si="10"/>
        <v>80000</v>
      </c>
      <c r="M74" s="105"/>
      <c r="N74" s="68"/>
      <c r="O74" s="68"/>
      <c r="P74" s="68"/>
      <c r="Q74" s="68"/>
      <c r="R74" s="68"/>
      <c r="S74" s="68"/>
      <c r="T74" s="103">
        <f t="shared" si="11"/>
        <v>0</v>
      </c>
      <c r="U74" s="105"/>
      <c r="V74" s="68"/>
      <c r="W74" s="68"/>
      <c r="X74" s="68"/>
      <c r="Y74" s="68"/>
      <c r="Z74" s="68"/>
      <c r="AA74" s="68"/>
      <c r="AB74" s="103">
        <f t="shared" si="12"/>
        <v>0</v>
      </c>
      <c r="AC74" s="105"/>
      <c r="AD74" s="68">
        <f t="shared" si="13"/>
        <v>0</v>
      </c>
      <c r="AE74" s="68" t="str">
        <f t="shared" si="14"/>
        <v/>
      </c>
      <c r="AF74" s="68">
        <f t="shared" si="15"/>
        <v>0</v>
      </c>
      <c r="AG74" s="68">
        <f t="shared" si="16"/>
        <v>0</v>
      </c>
      <c r="AH74" s="68">
        <f t="shared" si="17"/>
        <v>0</v>
      </c>
      <c r="AI74" s="68">
        <f t="shared" si="18"/>
        <v>0</v>
      </c>
      <c r="AJ74" s="103">
        <f t="shared" si="19"/>
        <v>0</v>
      </c>
      <c r="AK74" s="105"/>
      <c r="AL74" s="68"/>
    </row>
    <row r="75" spans="2:38" ht="20.100000000000001" customHeight="1" outlineLevel="1" x14ac:dyDescent="0.3">
      <c r="B75" s="110" t="s">
        <v>552</v>
      </c>
      <c r="C75" s="110" t="s">
        <v>435</v>
      </c>
      <c r="D75" s="110" t="s">
        <v>469</v>
      </c>
      <c r="E75" s="105"/>
      <c r="F75" s="68"/>
      <c r="G75" s="68"/>
      <c r="H75" s="68"/>
      <c r="I75" s="68"/>
      <c r="J75" s="68"/>
      <c r="K75" s="68"/>
      <c r="L75" s="103">
        <f t="shared" si="10"/>
        <v>0</v>
      </c>
      <c r="M75" s="105"/>
      <c r="N75" s="68">
        <v>0</v>
      </c>
      <c r="O75" s="68"/>
      <c r="P75" s="68">
        <v>0</v>
      </c>
      <c r="Q75" s="68">
        <v>0</v>
      </c>
      <c r="R75" s="68">
        <v>0</v>
      </c>
      <c r="S75" s="68">
        <v>19335.060000000001</v>
      </c>
      <c r="T75" s="103">
        <f t="shared" si="11"/>
        <v>19335.060000000001</v>
      </c>
      <c r="U75" s="105"/>
      <c r="V75" s="68"/>
      <c r="W75" s="68"/>
      <c r="X75" s="68"/>
      <c r="Y75" s="68"/>
      <c r="Z75" s="68"/>
      <c r="AA75" s="68"/>
      <c r="AB75" s="103">
        <f t="shared" si="12"/>
        <v>0</v>
      </c>
      <c r="AC75" s="105"/>
      <c r="AD75" s="68">
        <f t="shared" si="13"/>
        <v>0</v>
      </c>
      <c r="AE75" s="68" t="str">
        <f t="shared" si="14"/>
        <v/>
      </c>
      <c r="AF75" s="68">
        <f t="shared" si="15"/>
        <v>0</v>
      </c>
      <c r="AG75" s="68">
        <f t="shared" si="16"/>
        <v>0</v>
      </c>
      <c r="AH75" s="68">
        <f t="shared" si="17"/>
        <v>0</v>
      </c>
      <c r="AI75" s="68">
        <f t="shared" si="18"/>
        <v>19335.060000000001</v>
      </c>
      <c r="AJ75" s="103">
        <f t="shared" si="19"/>
        <v>19335.060000000001</v>
      </c>
      <c r="AK75" s="105"/>
      <c r="AL75" s="68"/>
    </row>
    <row r="76" spans="2:38" ht="20.100000000000001" customHeight="1" outlineLevel="1" x14ac:dyDescent="0.3">
      <c r="B76" s="107" t="s">
        <v>645</v>
      </c>
      <c r="C76" s="107" t="s">
        <v>204</v>
      </c>
      <c r="D76" s="107" t="s">
        <v>646</v>
      </c>
      <c r="E76" s="105"/>
      <c r="F76" s="102"/>
      <c r="G76" s="102"/>
      <c r="H76" s="102">
        <f>SUM(H77,H78)</f>
        <v>384000</v>
      </c>
      <c r="I76" s="102">
        <f>SUM(I77,I78)</f>
        <v>0</v>
      </c>
      <c r="J76" s="102">
        <f>SUM(J77,J78)</f>
        <v>0</v>
      </c>
      <c r="K76" s="102">
        <f>SUM(K77,K78)</f>
        <v>0</v>
      </c>
      <c r="L76" s="103">
        <f t="shared" si="10"/>
        <v>384000</v>
      </c>
      <c r="M76" s="105"/>
      <c r="N76" s="102"/>
      <c r="O76" s="102"/>
      <c r="P76" s="102">
        <f>SUM(P77,P78)</f>
        <v>0</v>
      </c>
      <c r="Q76" s="102">
        <f>SUM(Q77,Q78)</f>
        <v>0</v>
      </c>
      <c r="R76" s="102">
        <f>SUM(R77,R78)</f>
        <v>0</v>
      </c>
      <c r="S76" s="102">
        <f>SUM(S77,S78)</f>
        <v>0</v>
      </c>
      <c r="T76" s="103">
        <f t="shared" si="11"/>
        <v>0</v>
      </c>
      <c r="U76" s="105"/>
      <c r="V76" s="102"/>
      <c r="W76" s="102"/>
      <c r="X76" s="102">
        <f>SUM(X77,X78)</f>
        <v>0</v>
      </c>
      <c r="Y76" s="102">
        <f>SUM(Y77,Y78)</f>
        <v>0</v>
      </c>
      <c r="Z76" s="102">
        <f>SUM(Z77,Z78)</f>
        <v>0</v>
      </c>
      <c r="AA76" s="102">
        <f>SUM(AA77,AA78)</f>
        <v>0</v>
      </c>
      <c r="AB76" s="103">
        <f t="shared" si="12"/>
        <v>0</v>
      </c>
      <c r="AC76" s="105"/>
      <c r="AD76" s="102">
        <f t="shared" si="13"/>
        <v>0</v>
      </c>
      <c r="AE76" s="102" t="str">
        <f t="shared" si="14"/>
        <v/>
      </c>
      <c r="AF76" s="102">
        <f t="shared" si="15"/>
        <v>0</v>
      </c>
      <c r="AG76" s="102">
        <f t="shared" si="16"/>
        <v>0</v>
      </c>
      <c r="AH76" s="102">
        <f t="shared" si="17"/>
        <v>0</v>
      </c>
      <c r="AI76" s="102">
        <f t="shared" si="18"/>
        <v>0</v>
      </c>
      <c r="AJ76" s="103">
        <f t="shared" si="19"/>
        <v>0</v>
      </c>
      <c r="AK76" s="105"/>
      <c r="AL76" s="102"/>
    </row>
    <row r="77" spans="2:38" ht="20.100000000000001" customHeight="1" outlineLevel="1" x14ac:dyDescent="0.3">
      <c r="B77" s="110" t="s">
        <v>647</v>
      </c>
      <c r="C77" s="110" t="s">
        <v>205</v>
      </c>
      <c r="D77" s="110" t="s">
        <v>648</v>
      </c>
      <c r="E77" s="105"/>
      <c r="F77" s="68">
        <v>0</v>
      </c>
      <c r="G77" s="68"/>
      <c r="H77" s="68">
        <v>144000</v>
      </c>
      <c r="I77" s="68"/>
      <c r="J77" s="68"/>
      <c r="K77" s="68"/>
      <c r="L77" s="103">
        <f t="shared" ref="L77:L108" si="20">SUM(H77:K77)</f>
        <v>144000</v>
      </c>
      <c r="M77" s="105"/>
      <c r="N77" s="68"/>
      <c r="O77" s="68"/>
      <c r="P77" s="68"/>
      <c r="Q77" s="68"/>
      <c r="R77" s="68"/>
      <c r="S77" s="68"/>
      <c r="T77" s="103">
        <f t="shared" ref="T77:T108" si="21">SUM(P77:S77)</f>
        <v>0</v>
      </c>
      <c r="U77" s="105"/>
      <c r="V77" s="68"/>
      <c r="W77" s="68"/>
      <c r="X77" s="68"/>
      <c r="Y77" s="68"/>
      <c r="Z77" s="68"/>
      <c r="AA77" s="68"/>
      <c r="AB77" s="103">
        <f t="shared" ref="AB77:AB108" si="22">SUM(X77:AA77)</f>
        <v>0</v>
      </c>
      <c r="AC77" s="105"/>
      <c r="AD77" s="68">
        <f t="shared" ref="AD77:AD108" si="23">V77+N77</f>
        <v>0</v>
      </c>
      <c r="AE77" s="68" t="str">
        <f t="shared" ref="AE77:AE108" si="24">IF(W77&lt;&gt;"",W77,"")</f>
        <v/>
      </c>
      <c r="AF77" s="68">
        <f t="shared" ref="AF77:AF108" si="25">X77+P77</f>
        <v>0</v>
      </c>
      <c r="AG77" s="68">
        <f t="shared" ref="AG77:AG108" si="26">Y77+Q77</f>
        <v>0</v>
      </c>
      <c r="AH77" s="68">
        <f t="shared" ref="AH77:AH108" si="27">Z77+R77</f>
        <v>0</v>
      </c>
      <c r="AI77" s="68">
        <f t="shared" ref="AI77:AI108" si="28">AA77+S77</f>
        <v>0</v>
      </c>
      <c r="AJ77" s="103">
        <f t="shared" ref="AJ77:AJ108" si="29">SUM(AF77:AI77)</f>
        <v>0</v>
      </c>
      <c r="AK77" s="105"/>
      <c r="AL77" s="68"/>
    </row>
    <row r="78" spans="2:38" ht="20.100000000000001" customHeight="1" outlineLevel="1" x14ac:dyDescent="0.3">
      <c r="B78" s="110" t="s">
        <v>649</v>
      </c>
      <c r="C78" s="110" t="s">
        <v>206</v>
      </c>
      <c r="D78" s="110" t="s">
        <v>650</v>
      </c>
      <c r="E78" s="105"/>
      <c r="F78" s="68">
        <v>0</v>
      </c>
      <c r="G78" s="68"/>
      <c r="H78" s="68">
        <v>240000</v>
      </c>
      <c r="I78" s="68"/>
      <c r="J78" s="68"/>
      <c r="K78" s="68"/>
      <c r="L78" s="103">
        <f t="shared" si="20"/>
        <v>240000</v>
      </c>
      <c r="M78" s="105"/>
      <c r="N78" s="68"/>
      <c r="O78" s="68"/>
      <c r="P78" s="68"/>
      <c r="Q78" s="68"/>
      <c r="R78" s="68"/>
      <c r="S78" s="68"/>
      <c r="T78" s="103">
        <f t="shared" si="21"/>
        <v>0</v>
      </c>
      <c r="U78" s="105"/>
      <c r="V78" s="68"/>
      <c r="W78" s="68"/>
      <c r="X78" s="68"/>
      <c r="Y78" s="68"/>
      <c r="Z78" s="68"/>
      <c r="AA78" s="68"/>
      <c r="AB78" s="103">
        <f t="shared" si="22"/>
        <v>0</v>
      </c>
      <c r="AC78" s="105"/>
      <c r="AD78" s="68">
        <f t="shared" si="23"/>
        <v>0</v>
      </c>
      <c r="AE78" s="68" t="str">
        <f t="shared" si="24"/>
        <v/>
      </c>
      <c r="AF78" s="68">
        <f t="shared" si="25"/>
        <v>0</v>
      </c>
      <c r="AG78" s="68">
        <f t="shared" si="26"/>
        <v>0</v>
      </c>
      <c r="AH78" s="68">
        <f t="shared" si="27"/>
        <v>0</v>
      </c>
      <c r="AI78" s="68">
        <f t="shared" si="28"/>
        <v>0</v>
      </c>
      <c r="AJ78" s="103">
        <f t="shared" si="29"/>
        <v>0</v>
      </c>
      <c r="AK78" s="105"/>
      <c r="AL78" s="68"/>
    </row>
    <row r="79" spans="2:38" ht="20.100000000000001" customHeight="1" outlineLevel="1" x14ac:dyDescent="0.3">
      <c r="B79" s="107" t="s">
        <v>557</v>
      </c>
      <c r="C79" s="107" t="s">
        <v>210</v>
      </c>
      <c r="D79" s="107" t="s">
        <v>558</v>
      </c>
      <c r="E79" s="105"/>
      <c r="F79" s="102"/>
      <c r="G79" s="102"/>
      <c r="H79" s="102">
        <f>H80</f>
        <v>0</v>
      </c>
      <c r="I79" s="102">
        <f>I80</f>
        <v>0</v>
      </c>
      <c r="J79" s="102">
        <f>J80</f>
        <v>3000000</v>
      </c>
      <c r="K79" s="102">
        <f>K80</f>
        <v>0</v>
      </c>
      <c r="L79" s="103">
        <f t="shared" si="20"/>
        <v>3000000</v>
      </c>
      <c r="M79" s="105"/>
      <c r="N79" s="102"/>
      <c r="O79" s="102"/>
      <c r="P79" s="102">
        <f>P80</f>
        <v>0</v>
      </c>
      <c r="Q79" s="102">
        <f>Q80</f>
        <v>0</v>
      </c>
      <c r="R79" s="102">
        <f>R80</f>
        <v>0</v>
      </c>
      <c r="S79" s="102">
        <f>S80</f>
        <v>0</v>
      </c>
      <c r="T79" s="103">
        <f t="shared" si="21"/>
        <v>0</v>
      </c>
      <c r="U79" s="105"/>
      <c r="V79" s="102"/>
      <c r="W79" s="102"/>
      <c r="X79" s="102">
        <f>X80</f>
        <v>0</v>
      </c>
      <c r="Y79" s="102">
        <f>Y80</f>
        <v>0</v>
      </c>
      <c r="Z79" s="102">
        <f>Z80</f>
        <v>0</v>
      </c>
      <c r="AA79" s="102">
        <f>AA80</f>
        <v>0</v>
      </c>
      <c r="AB79" s="103">
        <f t="shared" si="22"/>
        <v>0</v>
      </c>
      <c r="AC79" s="105"/>
      <c r="AD79" s="102">
        <f t="shared" si="23"/>
        <v>0</v>
      </c>
      <c r="AE79" s="102" t="str">
        <f t="shared" si="24"/>
        <v/>
      </c>
      <c r="AF79" s="102">
        <f t="shared" si="25"/>
        <v>0</v>
      </c>
      <c r="AG79" s="102">
        <f t="shared" si="26"/>
        <v>0</v>
      </c>
      <c r="AH79" s="102">
        <f t="shared" si="27"/>
        <v>0</v>
      </c>
      <c r="AI79" s="102">
        <f t="shared" si="28"/>
        <v>0</v>
      </c>
      <c r="AJ79" s="103">
        <f t="shared" si="29"/>
        <v>0</v>
      </c>
      <c r="AK79" s="105"/>
      <c r="AL79" s="102"/>
    </row>
    <row r="80" spans="2:38" ht="20.100000000000001" customHeight="1" outlineLevel="1" x14ac:dyDescent="0.3">
      <c r="B80" s="110" t="s">
        <v>559</v>
      </c>
      <c r="C80" s="110" t="s">
        <v>211</v>
      </c>
      <c r="D80" s="110" t="s">
        <v>469</v>
      </c>
      <c r="E80" s="105"/>
      <c r="F80" s="68">
        <v>0</v>
      </c>
      <c r="G80" s="68"/>
      <c r="H80" s="68"/>
      <c r="I80" s="68"/>
      <c r="J80" s="68">
        <v>3000000</v>
      </c>
      <c r="K80" s="68"/>
      <c r="L80" s="103">
        <f t="shared" si="20"/>
        <v>3000000</v>
      </c>
      <c r="M80" s="105"/>
      <c r="N80" s="68"/>
      <c r="O80" s="68"/>
      <c r="P80" s="68"/>
      <c r="Q80" s="68"/>
      <c r="R80" s="68"/>
      <c r="S80" s="68"/>
      <c r="T80" s="103">
        <f t="shared" si="21"/>
        <v>0</v>
      </c>
      <c r="U80" s="105"/>
      <c r="V80" s="68"/>
      <c r="W80" s="68"/>
      <c r="X80" s="68"/>
      <c r="Y80" s="68"/>
      <c r="Z80" s="68"/>
      <c r="AA80" s="68"/>
      <c r="AB80" s="103">
        <f t="shared" si="22"/>
        <v>0</v>
      </c>
      <c r="AC80" s="105"/>
      <c r="AD80" s="68">
        <f t="shared" si="23"/>
        <v>0</v>
      </c>
      <c r="AE80" s="68" t="str">
        <f t="shared" si="24"/>
        <v/>
      </c>
      <c r="AF80" s="68">
        <f t="shared" si="25"/>
        <v>0</v>
      </c>
      <c r="AG80" s="68">
        <f t="shared" si="26"/>
        <v>0</v>
      </c>
      <c r="AH80" s="68">
        <f t="shared" si="27"/>
        <v>0</v>
      </c>
      <c r="AI80" s="68">
        <f t="shared" si="28"/>
        <v>0</v>
      </c>
      <c r="AJ80" s="103">
        <f t="shared" si="29"/>
        <v>0</v>
      </c>
      <c r="AK80" s="105"/>
      <c r="AL80" s="68"/>
    </row>
    <row r="81" spans="2:38" ht="20.100000000000001" customHeight="1" x14ac:dyDescent="0.3">
      <c r="B81" s="106" t="s">
        <v>506</v>
      </c>
      <c r="C81" s="106" t="s">
        <v>218</v>
      </c>
      <c r="D81" s="106" t="s">
        <v>507</v>
      </c>
      <c r="E81" s="105"/>
      <c r="F81" s="102"/>
      <c r="G81" s="102"/>
      <c r="H81" s="102">
        <f>H82</f>
        <v>0</v>
      </c>
      <c r="I81" s="102">
        <f>I82</f>
        <v>0</v>
      </c>
      <c r="J81" s="102">
        <f>J82</f>
        <v>0</v>
      </c>
      <c r="K81" s="102">
        <f>K82</f>
        <v>0</v>
      </c>
      <c r="L81" s="103">
        <f t="shared" si="20"/>
        <v>0</v>
      </c>
      <c r="M81" s="105"/>
      <c r="N81" s="102"/>
      <c r="O81" s="102"/>
      <c r="P81" s="102">
        <f>P82</f>
        <v>15096</v>
      </c>
      <c r="Q81" s="102">
        <f>Q82</f>
        <v>0</v>
      </c>
      <c r="R81" s="102">
        <f>R82</f>
        <v>0</v>
      </c>
      <c r="S81" s="102">
        <f>S82</f>
        <v>0</v>
      </c>
      <c r="T81" s="103">
        <f t="shared" si="21"/>
        <v>15096</v>
      </c>
      <c r="U81" s="105"/>
      <c r="V81" s="102"/>
      <c r="W81" s="102"/>
      <c r="X81" s="102">
        <f>X82</f>
        <v>0</v>
      </c>
      <c r="Y81" s="102">
        <f>Y82</f>
        <v>0</v>
      </c>
      <c r="Z81" s="102">
        <f>Z82</f>
        <v>0</v>
      </c>
      <c r="AA81" s="102">
        <f>AA82</f>
        <v>0</v>
      </c>
      <c r="AB81" s="103">
        <f t="shared" si="22"/>
        <v>0</v>
      </c>
      <c r="AC81" s="105"/>
      <c r="AD81" s="102">
        <f t="shared" si="23"/>
        <v>0</v>
      </c>
      <c r="AE81" s="102" t="str">
        <f t="shared" si="24"/>
        <v/>
      </c>
      <c r="AF81" s="102">
        <f t="shared" si="25"/>
        <v>15096</v>
      </c>
      <c r="AG81" s="102">
        <f t="shared" si="26"/>
        <v>0</v>
      </c>
      <c r="AH81" s="102">
        <f t="shared" si="27"/>
        <v>0</v>
      </c>
      <c r="AI81" s="102">
        <f t="shared" si="28"/>
        <v>0</v>
      </c>
      <c r="AJ81" s="103">
        <f t="shared" si="29"/>
        <v>15096</v>
      </c>
      <c r="AK81" s="105"/>
      <c r="AL81" s="102"/>
    </row>
    <row r="82" spans="2:38" ht="20.100000000000001" customHeight="1" outlineLevel="1" x14ac:dyDescent="0.3">
      <c r="B82" s="107" t="s">
        <v>651</v>
      </c>
      <c r="C82" s="107" t="s">
        <v>652</v>
      </c>
      <c r="D82" s="107" t="s">
        <v>653</v>
      </c>
      <c r="E82" s="105"/>
      <c r="F82" s="102"/>
      <c r="G82" s="102"/>
      <c r="H82" s="102">
        <f>H83</f>
        <v>0</v>
      </c>
      <c r="I82" s="102">
        <f>I83</f>
        <v>0</v>
      </c>
      <c r="J82" s="102">
        <f>J83</f>
        <v>0</v>
      </c>
      <c r="K82" s="102">
        <f>K83</f>
        <v>0</v>
      </c>
      <c r="L82" s="103">
        <f t="shared" si="20"/>
        <v>0</v>
      </c>
      <c r="M82" s="105"/>
      <c r="N82" s="102"/>
      <c r="O82" s="102"/>
      <c r="P82" s="102">
        <f>P83</f>
        <v>15096</v>
      </c>
      <c r="Q82" s="102">
        <f>Q83</f>
        <v>0</v>
      </c>
      <c r="R82" s="102">
        <f>R83</f>
        <v>0</v>
      </c>
      <c r="S82" s="102">
        <f>S83</f>
        <v>0</v>
      </c>
      <c r="T82" s="103">
        <f t="shared" si="21"/>
        <v>15096</v>
      </c>
      <c r="U82" s="105"/>
      <c r="V82" s="102"/>
      <c r="W82" s="102"/>
      <c r="X82" s="102">
        <f>X83</f>
        <v>0</v>
      </c>
      <c r="Y82" s="102">
        <f>Y83</f>
        <v>0</v>
      </c>
      <c r="Z82" s="102">
        <f>Z83</f>
        <v>0</v>
      </c>
      <c r="AA82" s="102">
        <f>AA83</f>
        <v>0</v>
      </c>
      <c r="AB82" s="103">
        <f t="shared" si="22"/>
        <v>0</v>
      </c>
      <c r="AC82" s="105"/>
      <c r="AD82" s="102">
        <f t="shared" si="23"/>
        <v>0</v>
      </c>
      <c r="AE82" s="102" t="str">
        <f t="shared" si="24"/>
        <v/>
      </c>
      <c r="AF82" s="102">
        <f t="shared" si="25"/>
        <v>15096</v>
      </c>
      <c r="AG82" s="102">
        <f t="shared" si="26"/>
        <v>0</v>
      </c>
      <c r="AH82" s="102">
        <f t="shared" si="27"/>
        <v>0</v>
      </c>
      <c r="AI82" s="102">
        <f t="shared" si="28"/>
        <v>0</v>
      </c>
      <c r="AJ82" s="103">
        <f t="shared" si="29"/>
        <v>15096</v>
      </c>
      <c r="AK82" s="105"/>
      <c r="AL82" s="102"/>
    </row>
    <row r="83" spans="2:38" ht="20.100000000000001" customHeight="1" outlineLevel="1" x14ac:dyDescent="0.3">
      <c r="B83" s="110" t="s">
        <v>654</v>
      </c>
      <c r="C83" s="110" t="s">
        <v>655</v>
      </c>
      <c r="D83" s="110" t="s">
        <v>656</v>
      </c>
      <c r="E83" s="105"/>
      <c r="F83" s="68"/>
      <c r="G83" s="68"/>
      <c r="H83" s="68"/>
      <c r="I83" s="68"/>
      <c r="J83" s="68"/>
      <c r="K83" s="68"/>
      <c r="L83" s="103">
        <f t="shared" si="20"/>
        <v>0</v>
      </c>
      <c r="M83" s="105"/>
      <c r="N83" s="68">
        <v>24</v>
      </c>
      <c r="O83" s="68" t="s">
        <v>565</v>
      </c>
      <c r="P83" s="68">
        <v>15096</v>
      </c>
      <c r="Q83" s="68">
        <v>0</v>
      </c>
      <c r="R83" s="68">
        <v>0</v>
      </c>
      <c r="S83" s="68">
        <v>0</v>
      </c>
      <c r="T83" s="103">
        <f t="shared" si="21"/>
        <v>15096</v>
      </c>
      <c r="U83" s="105"/>
      <c r="V83" s="68"/>
      <c r="W83" s="68"/>
      <c r="X83" s="68"/>
      <c r="Y83" s="68"/>
      <c r="Z83" s="68"/>
      <c r="AA83" s="68"/>
      <c r="AB83" s="103">
        <f t="shared" si="22"/>
        <v>0</v>
      </c>
      <c r="AC83" s="105"/>
      <c r="AD83" s="68">
        <f t="shared" si="23"/>
        <v>24</v>
      </c>
      <c r="AE83" s="68" t="str">
        <f t="shared" si="24"/>
        <v/>
      </c>
      <c r="AF83" s="68">
        <f t="shared" si="25"/>
        <v>15096</v>
      </c>
      <c r="AG83" s="68">
        <f t="shared" si="26"/>
        <v>0</v>
      </c>
      <c r="AH83" s="68">
        <f t="shared" si="27"/>
        <v>0</v>
      </c>
      <c r="AI83" s="68">
        <f t="shared" si="28"/>
        <v>0</v>
      </c>
      <c r="AJ83" s="103">
        <f t="shared" si="29"/>
        <v>15096</v>
      </c>
      <c r="AK83" s="105"/>
      <c r="AL83" s="68"/>
    </row>
    <row r="84" spans="2:38" ht="20.100000000000001" customHeight="1" x14ac:dyDescent="0.3">
      <c r="B84" s="106" t="s">
        <v>657</v>
      </c>
      <c r="C84" s="106" t="s">
        <v>256</v>
      </c>
      <c r="D84" s="106" t="s">
        <v>658</v>
      </c>
      <c r="E84" s="105"/>
      <c r="F84" s="102"/>
      <c r="G84" s="102"/>
      <c r="H84" s="102">
        <f>SUM(H85,H96,H98,H103,H109)</f>
        <v>90408075.590000004</v>
      </c>
      <c r="I84" s="102">
        <f>SUM(I85,I96,I98,I103,I109)</f>
        <v>74477727.299999997</v>
      </c>
      <c r="J84" s="102">
        <f>SUM(J85,J96,J98,J103,J109)</f>
        <v>0</v>
      </c>
      <c r="K84" s="102">
        <f>SUM(K85,K96,K98,K103,K109)</f>
        <v>0</v>
      </c>
      <c r="L84" s="103">
        <f t="shared" si="20"/>
        <v>164885802.88999999</v>
      </c>
      <c r="M84" s="105"/>
      <c r="N84" s="102"/>
      <c r="O84" s="102"/>
      <c r="P84" s="102">
        <f>SUM(P85,P96,P98,P103,P109)</f>
        <v>21023238.16</v>
      </c>
      <c r="Q84" s="102">
        <f>SUM(Q85,Q96,Q98,Q103,Q109)</f>
        <v>503247.26</v>
      </c>
      <c r="R84" s="102">
        <f>SUM(R85,R96,R98,R103,R109)</f>
        <v>15000</v>
      </c>
      <c r="S84" s="102">
        <f>SUM(S85,S96,S98,S103,S109)</f>
        <v>34571978.75</v>
      </c>
      <c r="T84" s="103">
        <f t="shared" si="21"/>
        <v>56113464.170000002</v>
      </c>
      <c r="U84" s="105"/>
      <c r="V84" s="102"/>
      <c r="W84" s="102"/>
      <c r="X84" s="102">
        <f>SUM(X85,X96,X98,X103,X109)</f>
        <v>0</v>
      </c>
      <c r="Y84" s="102">
        <f>SUM(Y85,Y96,Y98,Y103,Y109)</f>
        <v>0</v>
      </c>
      <c r="Z84" s="102">
        <f>SUM(Z85,Z96,Z98,Z103,Z109)</f>
        <v>0</v>
      </c>
      <c r="AA84" s="102">
        <f>SUM(AA85,AA96,AA98,AA103,AA109)</f>
        <v>0</v>
      </c>
      <c r="AB84" s="103">
        <f t="shared" si="22"/>
        <v>0</v>
      </c>
      <c r="AC84" s="105"/>
      <c r="AD84" s="102">
        <f t="shared" si="23"/>
        <v>0</v>
      </c>
      <c r="AE84" s="102" t="str">
        <f t="shared" si="24"/>
        <v/>
      </c>
      <c r="AF84" s="102">
        <f t="shared" si="25"/>
        <v>21023238.16</v>
      </c>
      <c r="AG84" s="102">
        <f t="shared" si="26"/>
        <v>503247.26</v>
      </c>
      <c r="AH84" s="102">
        <f t="shared" si="27"/>
        <v>15000</v>
      </c>
      <c r="AI84" s="102">
        <f t="shared" si="28"/>
        <v>34571978.75</v>
      </c>
      <c r="AJ84" s="103">
        <f t="shared" si="29"/>
        <v>56113464.170000002</v>
      </c>
      <c r="AK84" s="105"/>
      <c r="AL84" s="102"/>
    </row>
    <row r="85" spans="2:38" ht="20.100000000000001" customHeight="1" outlineLevel="1" x14ac:dyDescent="0.3">
      <c r="B85" s="107" t="s">
        <v>659</v>
      </c>
      <c r="C85" s="107" t="s">
        <v>257</v>
      </c>
      <c r="D85" s="107" t="s">
        <v>660</v>
      </c>
      <c r="E85" s="105"/>
      <c r="F85" s="102"/>
      <c r="G85" s="102"/>
      <c r="H85" s="102">
        <f>SUM(H86,H94,H95)</f>
        <v>81384473.340000004</v>
      </c>
      <c r="I85" s="102">
        <f>SUM(I86,I94,I95)</f>
        <v>47006427</v>
      </c>
      <c r="J85" s="102">
        <f>SUM(J86,J94,J95)</f>
        <v>0</v>
      </c>
      <c r="K85" s="102">
        <f>SUM(K86,K94,K95)</f>
        <v>0</v>
      </c>
      <c r="L85" s="103">
        <f t="shared" si="20"/>
        <v>128390900.34</v>
      </c>
      <c r="M85" s="105"/>
      <c r="N85" s="102"/>
      <c r="O85" s="102"/>
      <c r="P85" s="102">
        <f>SUM(P86,P94,P95)</f>
        <v>20999438.16</v>
      </c>
      <c r="Q85" s="102">
        <f>SUM(Q86,Q94,Q95)</f>
        <v>503247.26</v>
      </c>
      <c r="R85" s="102">
        <f>SUM(R86,R94,R95)</f>
        <v>15000</v>
      </c>
      <c r="S85" s="102">
        <f>SUM(S86,S94,S95)</f>
        <v>34571978.75</v>
      </c>
      <c r="T85" s="103">
        <f t="shared" si="21"/>
        <v>56089664.170000002</v>
      </c>
      <c r="U85" s="105"/>
      <c r="V85" s="102"/>
      <c r="W85" s="102"/>
      <c r="X85" s="102">
        <f>SUM(X86,X94,X95)</f>
        <v>0</v>
      </c>
      <c r="Y85" s="102">
        <f>SUM(Y86,Y94,Y95)</f>
        <v>0</v>
      </c>
      <c r="Z85" s="102">
        <f>SUM(Z86,Z94,Z95)</f>
        <v>0</v>
      </c>
      <c r="AA85" s="102">
        <f>SUM(AA86,AA94,AA95)</f>
        <v>0</v>
      </c>
      <c r="AB85" s="103">
        <f t="shared" si="22"/>
        <v>0</v>
      </c>
      <c r="AC85" s="105"/>
      <c r="AD85" s="102">
        <f t="shared" si="23"/>
        <v>0</v>
      </c>
      <c r="AE85" s="102" t="str">
        <f t="shared" si="24"/>
        <v/>
      </c>
      <c r="AF85" s="102">
        <f t="shared" si="25"/>
        <v>20999438.16</v>
      </c>
      <c r="AG85" s="102">
        <f t="shared" si="26"/>
        <v>503247.26</v>
      </c>
      <c r="AH85" s="102">
        <f t="shared" si="27"/>
        <v>15000</v>
      </c>
      <c r="AI85" s="102">
        <f t="shared" si="28"/>
        <v>34571978.75</v>
      </c>
      <c r="AJ85" s="103">
        <f t="shared" si="29"/>
        <v>56089664.170000002</v>
      </c>
      <c r="AK85" s="105"/>
      <c r="AL85" s="102"/>
    </row>
    <row r="86" spans="2:38" ht="20.100000000000001" customHeight="1" outlineLevel="1" x14ac:dyDescent="0.3">
      <c r="B86" s="108" t="s">
        <v>661</v>
      </c>
      <c r="C86" s="108" t="s">
        <v>258</v>
      </c>
      <c r="D86" s="108" t="s">
        <v>483</v>
      </c>
      <c r="E86" s="105"/>
      <c r="F86" s="102"/>
      <c r="G86" s="102"/>
      <c r="H86" s="102">
        <f>SUM(H87,H88,H89,H90,H91,H92,H93)</f>
        <v>81314101.5</v>
      </c>
      <c r="I86" s="102">
        <f>SUM(I87,I88,I89,I90,I91,I92,I93)</f>
        <v>0</v>
      </c>
      <c r="J86" s="102">
        <f>SUM(J87,J88,J89,J90,J91,J92,J93)</f>
        <v>0</v>
      </c>
      <c r="K86" s="102">
        <f>SUM(K87,K88,K89,K90,K91,K92,K93)</f>
        <v>0</v>
      </c>
      <c r="L86" s="103">
        <f t="shared" si="20"/>
        <v>81314101.5</v>
      </c>
      <c r="M86" s="105"/>
      <c r="N86" s="102"/>
      <c r="O86" s="102"/>
      <c r="P86" s="102">
        <f>SUM(P87,P88,P89,P90,P91,P92,P93)</f>
        <v>20054700</v>
      </c>
      <c r="Q86" s="102">
        <f>SUM(Q87,Q88,Q89,Q90,Q91,Q92,Q93)</f>
        <v>144000</v>
      </c>
      <c r="R86" s="102">
        <f>SUM(R87,R88,R89,R90,R91,R92,R93)</f>
        <v>15000</v>
      </c>
      <c r="S86" s="102">
        <f>SUM(S87,S88,S89,S90,S91,S92,S93)</f>
        <v>0</v>
      </c>
      <c r="T86" s="103">
        <f t="shared" si="21"/>
        <v>20213700</v>
      </c>
      <c r="U86" s="105"/>
      <c r="V86" s="102"/>
      <c r="W86" s="102"/>
      <c r="X86" s="102">
        <f>SUM(X87,X88,X89,X90,X91,X92,X93)</f>
        <v>0</v>
      </c>
      <c r="Y86" s="102">
        <f>SUM(Y87,Y88,Y89,Y90,Y91,Y92,Y93)</f>
        <v>0</v>
      </c>
      <c r="Z86" s="102">
        <f>SUM(Z87,Z88,Z89,Z90,Z91,Z92,Z93)</f>
        <v>0</v>
      </c>
      <c r="AA86" s="102">
        <f>SUM(AA87,AA88,AA89,AA90,AA91,AA92,AA93)</f>
        <v>0</v>
      </c>
      <c r="AB86" s="103">
        <f t="shared" si="22"/>
        <v>0</v>
      </c>
      <c r="AC86" s="105"/>
      <c r="AD86" s="102">
        <f t="shared" si="23"/>
        <v>0</v>
      </c>
      <c r="AE86" s="102" t="str">
        <f t="shared" si="24"/>
        <v/>
      </c>
      <c r="AF86" s="102">
        <f t="shared" si="25"/>
        <v>20054700</v>
      </c>
      <c r="AG86" s="102">
        <f t="shared" si="26"/>
        <v>144000</v>
      </c>
      <c r="AH86" s="102">
        <f t="shared" si="27"/>
        <v>15000</v>
      </c>
      <c r="AI86" s="102">
        <f t="shared" si="28"/>
        <v>0</v>
      </c>
      <c r="AJ86" s="103">
        <f t="shared" si="29"/>
        <v>20213700</v>
      </c>
      <c r="AK86" s="105"/>
      <c r="AL86" s="102"/>
    </row>
    <row r="87" spans="2:38" ht="20.100000000000001" customHeight="1" outlineLevel="1" x14ac:dyDescent="0.3">
      <c r="B87" s="109" t="s">
        <v>662</v>
      </c>
      <c r="C87" s="109" t="s">
        <v>259</v>
      </c>
      <c r="D87" s="109" t="s">
        <v>663</v>
      </c>
      <c r="E87" s="105"/>
      <c r="F87" s="68">
        <v>0</v>
      </c>
      <c r="G87" s="68"/>
      <c r="H87" s="68">
        <v>1744201.25</v>
      </c>
      <c r="I87" s="68"/>
      <c r="J87" s="68"/>
      <c r="K87" s="68"/>
      <c r="L87" s="103">
        <f t="shared" si="20"/>
        <v>1744201.25</v>
      </c>
      <c r="M87" s="105"/>
      <c r="N87" s="68">
        <v>100000</v>
      </c>
      <c r="O87" s="68" t="s">
        <v>546</v>
      </c>
      <c r="P87" s="68">
        <v>2300000</v>
      </c>
      <c r="Q87" s="68">
        <v>0</v>
      </c>
      <c r="R87" s="68">
        <v>0</v>
      </c>
      <c r="S87" s="68">
        <v>0</v>
      </c>
      <c r="T87" s="103">
        <f t="shared" si="21"/>
        <v>2300000</v>
      </c>
      <c r="U87" s="105"/>
      <c r="V87" s="68"/>
      <c r="W87" s="68"/>
      <c r="X87" s="68"/>
      <c r="Y87" s="68"/>
      <c r="Z87" s="68"/>
      <c r="AA87" s="68"/>
      <c r="AB87" s="103">
        <f t="shared" si="22"/>
        <v>0</v>
      </c>
      <c r="AC87" s="105"/>
      <c r="AD87" s="68">
        <f t="shared" si="23"/>
        <v>100000</v>
      </c>
      <c r="AE87" s="68" t="str">
        <f t="shared" si="24"/>
        <v/>
      </c>
      <c r="AF87" s="68">
        <f t="shared" si="25"/>
        <v>2300000</v>
      </c>
      <c r="AG87" s="68">
        <f t="shared" si="26"/>
        <v>0</v>
      </c>
      <c r="AH87" s="68">
        <f t="shared" si="27"/>
        <v>0</v>
      </c>
      <c r="AI87" s="68">
        <f t="shared" si="28"/>
        <v>0</v>
      </c>
      <c r="AJ87" s="103">
        <f t="shared" si="29"/>
        <v>2300000</v>
      </c>
      <c r="AK87" s="105"/>
      <c r="AL87" s="68"/>
    </row>
    <row r="88" spans="2:38" ht="20.100000000000001" customHeight="1" outlineLevel="1" x14ac:dyDescent="0.3">
      <c r="B88" s="109" t="s">
        <v>664</v>
      </c>
      <c r="C88" s="109" t="s">
        <v>665</v>
      </c>
      <c r="D88" s="109" t="s">
        <v>666</v>
      </c>
      <c r="E88" s="105"/>
      <c r="F88" s="68">
        <v>0</v>
      </c>
      <c r="G88" s="68"/>
      <c r="H88" s="68">
        <v>27511852.800000001</v>
      </c>
      <c r="I88" s="68"/>
      <c r="J88" s="68"/>
      <c r="K88" s="68"/>
      <c r="L88" s="103">
        <f t="shared" si="20"/>
        <v>27511852.800000001</v>
      </c>
      <c r="M88" s="105"/>
      <c r="N88" s="68">
        <v>2415</v>
      </c>
      <c r="O88" s="68" t="s">
        <v>548</v>
      </c>
      <c r="P88" s="68">
        <v>448800</v>
      </c>
      <c r="Q88" s="68">
        <v>144000</v>
      </c>
      <c r="R88" s="68">
        <v>15000</v>
      </c>
      <c r="S88" s="68">
        <v>0</v>
      </c>
      <c r="T88" s="103">
        <f t="shared" si="21"/>
        <v>607800</v>
      </c>
      <c r="U88" s="105"/>
      <c r="V88" s="68"/>
      <c r="W88" s="68"/>
      <c r="X88" s="68"/>
      <c r="Y88" s="68"/>
      <c r="Z88" s="68"/>
      <c r="AA88" s="68"/>
      <c r="AB88" s="103">
        <f t="shared" si="22"/>
        <v>0</v>
      </c>
      <c r="AC88" s="105"/>
      <c r="AD88" s="68">
        <f t="shared" si="23"/>
        <v>2415</v>
      </c>
      <c r="AE88" s="68" t="str">
        <f t="shared" si="24"/>
        <v/>
      </c>
      <c r="AF88" s="68">
        <f t="shared" si="25"/>
        <v>448800</v>
      </c>
      <c r="AG88" s="68">
        <f t="shared" si="26"/>
        <v>144000</v>
      </c>
      <c r="AH88" s="68">
        <f t="shared" si="27"/>
        <v>15000</v>
      </c>
      <c r="AI88" s="68">
        <f t="shared" si="28"/>
        <v>0</v>
      </c>
      <c r="AJ88" s="103">
        <f t="shared" si="29"/>
        <v>607800</v>
      </c>
      <c r="AK88" s="105"/>
      <c r="AL88" s="68"/>
    </row>
    <row r="89" spans="2:38" ht="20.100000000000001" customHeight="1" outlineLevel="1" x14ac:dyDescent="0.3">
      <c r="B89" s="109" t="s">
        <v>667</v>
      </c>
      <c r="C89" s="109" t="s">
        <v>444</v>
      </c>
      <c r="D89" s="109" t="s">
        <v>668</v>
      </c>
      <c r="E89" s="105"/>
      <c r="F89" s="68">
        <v>0</v>
      </c>
      <c r="G89" s="68"/>
      <c r="H89" s="68">
        <v>6790731.5999999996</v>
      </c>
      <c r="I89" s="68"/>
      <c r="J89" s="68"/>
      <c r="K89" s="68"/>
      <c r="L89" s="103">
        <f t="shared" si="20"/>
        <v>6790731.5999999996</v>
      </c>
      <c r="M89" s="105"/>
      <c r="N89" s="68">
        <v>3254</v>
      </c>
      <c r="O89" s="68" t="s">
        <v>743</v>
      </c>
      <c r="P89" s="68">
        <v>4444800</v>
      </c>
      <c r="Q89" s="68">
        <v>0</v>
      </c>
      <c r="R89" s="68">
        <v>0</v>
      </c>
      <c r="S89" s="68">
        <v>0</v>
      </c>
      <c r="T89" s="103">
        <f t="shared" si="21"/>
        <v>4444800</v>
      </c>
      <c r="U89" s="105"/>
      <c r="V89" s="68"/>
      <c r="W89" s="68"/>
      <c r="X89" s="68"/>
      <c r="Y89" s="68"/>
      <c r="Z89" s="68"/>
      <c r="AA89" s="68"/>
      <c r="AB89" s="103">
        <f t="shared" si="22"/>
        <v>0</v>
      </c>
      <c r="AC89" s="105"/>
      <c r="AD89" s="68">
        <f t="shared" si="23"/>
        <v>3254</v>
      </c>
      <c r="AE89" s="68" t="str">
        <f t="shared" si="24"/>
        <v/>
      </c>
      <c r="AF89" s="68">
        <f t="shared" si="25"/>
        <v>4444800</v>
      </c>
      <c r="AG89" s="68">
        <f t="shared" si="26"/>
        <v>0</v>
      </c>
      <c r="AH89" s="68">
        <f t="shared" si="27"/>
        <v>0</v>
      </c>
      <c r="AI89" s="68">
        <f t="shared" si="28"/>
        <v>0</v>
      </c>
      <c r="AJ89" s="103">
        <f t="shared" si="29"/>
        <v>4444800</v>
      </c>
      <c r="AK89" s="105"/>
      <c r="AL89" s="68"/>
    </row>
    <row r="90" spans="2:38" ht="20.100000000000001" customHeight="1" outlineLevel="1" x14ac:dyDescent="0.3">
      <c r="B90" s="109" t="s">
        <v>669</v>
      </c>
      <c r="C90" s="109" t="s">
        <v>670</v>
      </c>
      <c r="D90" s="109" t="s">
        <v>671</v>
      </c>
      <c r="E90" s="105"/>
      <c r="F90" s="68">
        <v>0</v>
      </c>
      <c r="G90" s="68"/>
      <c r="H90" s="68">
        <v>718745.4</v>
      </c>
      <c r="I90" s="68"/>
      <c r="J90" s="68"/>
      <c r="K90" s="68"/>
      <c r="L90" s="103">
        <f t="shared" si="20"/>
        <v>718745.4</v>
      </c>
      <c r="M90" s="105"/>
      <c r="N90" s="68">
        <v>405</v>
      </c>
      <c r="O90" s="68" t="s">
        <v>743</v>
      </c>
      <c r="P90" s="68">
        <v>571500</v>
      </c>
      <c r="Q90" s="68">
        <v>0</v>
      </c>
      <c r="R90" s="68">
        <v>0</v>
      </c>
      <c r="S90" s="68">
        <v>0</v>
      </c>
      <c r="T90" s="103">
        <f t="shared" si="21"/>
        <v>571500</v>
      </c>
      <c r="U90" s="105"/>
      <c r="V90" s="68"/>
      <c r="W90" s="68"/>
      <c r="X90" s="68"/>
      <c r="Y90" s="68"/>
      <c r="Z90" s="68"/>
      <c r="AA90" s="68"/>
      <c r="AB90" s="103">
        <f t="shared" si="22"/>
        <v>0</v>
      </c>
      <c r="AC90" s="105"/>
      <c r="AD90" s="68">
        <f t="shared" si="23"/>
        <v>405</v>
      </c>
      <c r="AE90" s="68" t="str">
        <f t="shared" si="24"/>
        <v/>
      </c>
      <c r="AF90" s="68">
        <f t="shared" si="25"/>
        <v>571500</v>
      </c>
      <c r="AG90" s="68">
        <f t="shared" si="26"/>
        <v>0</v>
      </c>
      <c r="AH90" s="68">
        <f t="shared" si="27"/>
        <v>0</v>
      </c>
      <c r="AI90" s="68">
        <f t="shared" si="28"/>
        <v>0</v>
      </c>
      <c r="AJ90" s="103">
        <f t="shared" si="29"/>
        <v>571500</v>
      </c>
      <c r="AK90" s="105"/>
      <c r="AL90" s="68"/>
    </row>
    <row r="91" spans="2:38" ht="20.100000000000001" customHeight="1" outlineLevel="1" x14ac:dyDescent="0.3">
      <c r="B91" s="109" t="s">
        <v>672</v>
      </c>
      <c r="C91" s="109" t="s">
        <v>260</v>
      </c>
      <c r="D91" s="109" t="s">
        <v>673</v>
      </c>
      <c r="E91" s="105"/>
      <c r="F91" s="68">
        <v>0</v>
      </c>
      <c r="G91" s="68"/>
      <c r="H91" s="68">
        <v>19853680</v>
      </c>
      <c r="I91" s="68"/>
      <c r="J91" s="68"/>
      <c r="K91" s="68"/>
      <c r="L91" s="103">
        <f t="shared" si="20"/>
        <v>19853680</v>
      </c>
      <c r="M91" s="105"/>
      <c r="N91" s="68">
        <v>193700</v>
      </c>
      <c r="O91" s="68" t="s">
        <v>548</v>
      </c>
      <c r="P91" s="68">
        <v>4966600</v>
      </c>
      <c r="Q91" s="68">
        <v>0</v>
      </c>
      <c r="R91" s="68">
        <v>0</v>
      </c>
      <c r="S91" s="68">
        <v>0</v>
      </c>
      <c r="T91" s="103">
        <f t="shared" si="21"/>
        <v>4966600</v>
      </c>
      <c r="U91" s="105"/>
      <c r="V91" s="68"/>
      <c r="W91" s="68"/>
      <c r="X91" s="68"/>
      <c r="Y91" s="68"/>
      <c r="Z91" s="68"/>
      <c r="AA91" s="68"/>
      <c r="AB91" s="103">
        <f t="shared" si="22"/>
        <v>0</v>
      </c>
      <c r="AC91" s="105"/>
      <c r="AD91" s="68">
        <f t="shared" si="23"/>
        <v>193700</v>
      </c>
      <c r="AE91" s="68" t="str">
        <f t="shared" si="24"/>
        <v/>
      </c>
      <c r="AF91" s="68">
        <f t="shared" si="25"/>
        <v>4966600</v>
      </c>
      <c r="AG91" s="68">
        <f t="shared" si="26"/>
        <v>0</v>
      </c>
      <c r="AH91" s="68">
        <f t="shared" si="27"/>
        <v>0</v>
      </c>
      <c r="AI91" s="68">
        <f t="shared" si="28"/>
        <v>0</v>
      </c>
      <c r="AJ91" s="103">
        <f t="shared" si="29"/>
        <v>4966600</v>
      </c>
      <c r="AK91" s="105"/>
      <c r="AL91" s="68"/>
    </row>
    <row r="92" spans="2:38" ht="20.100000000000001" customHeight="1" outlineLevel="1" x14ac:dyDescent="0.3">
      <c r="B92" s="109" t="s">
        <v>674</v>
      </c>
      <c r="C92" s="109" t="s">
        <v>675</v>
      </c>
      <c r="D92" s="109" t="s">
        <v>676</v>
      </c>
      <c r="E92" s="105"/>
      <c r="F92" s="68">
        <v>0</v>
      </c>
      <c r="G92" s="68"/>
      <c r="H92" s="68">
        <v>9664028.4499999993</v>
      </c>
      <c r="I92" s="68"/>
      <c r="J92" s="68"/>
      <c r="K92" s="68"/>
      <c r="L92" s="103">
        <f t="shared" si="20"/>
        <v>9664028.4499999993</v>
      </c>
      <c r="M92" s="105"/>
      <c r="N92" s="68">
        <v>250</v>
      </c>
      <c r="O92" s="68" t="s">
        <v>548</v>
      </c>
      <c r="P92" s="68">
        <v>323000</v>
      </c>
      <c r="Q92" s="68">
        <v>0</v>
      </c>
      <c r="R92" s="68">
        <v>0</v>
      </c>
      <c r="S92" s="68">
        <v>0</v>
      </c>
      <c r="T92" s="103">
        <f t="shared" si="21"/>
        <v>323000</v>
      </c>
      <c r="U92" s="105"/>
      <c r="V92" s="68"/>
      <c r="W92" s="68"/>
      <c r="X92" s="68"/>
      <c r="Y92" s="68"/>
      <c r="Z92" s="68"/>
      <c r="AA92" s="68"/>
      <c r="AB92" s="103">
        <f t="shared" si="22"/>
        <v>0</v>
      </c>
      <c r="AC92" s="105"/>
      <c r="AD92" s="68">
        <f t="shared" si="23"/>
        <v>250</v>
      </c>
      <c r="AE92" s="68" t="str">
        <f t="shared" si="24"/>
        <v/>
      </c>
      <c r="AF92" s="68">
        <f t="shared" si="25"/>
        <v>323000</v>
      </c>
      <c r="AG92" s="68">
        <f t="shared" si="26"/>
        <v>0</v>
      </c>
      <c r="AH92" s="68">
        <f t="shared" si="27"/>
        <v>0</v>
      </c>
      <c r="AI92" s="68">
        <f t="shared" si="28"/>
        <v>0</v>
      </c>
      <c r="AJ92" s="103">
        <f t="shared" si="29"/>
        <v>323000</v>
      </c>
      <c r="AK92" s="105"/>
      <c r="AL92" s="68"/>
    </row>
    <row r="93" spans="2:38" ht="20.100000000000001" customHeight="1" outlineLevel="1" x14ac:dyDescent="0.3">
      <c r="B93" s="109" t="s">
        <v>677</v>
      </c>
      <c r="C93" s="109" t="s">
        <v>678</v>
      </c>
      <c r="D93" s="109" t="s">
        <v>679</v>
      </c>
      <c r="E93" s="105"/>
      <c r="F93" s="68">
        <v>0</v>
      </c>
      <c r="G93" s="68"/>
      <c r="H93" s="68">
        <v>15030862</v>
      </c>
      <c r="I93" s="68"/>
      <c r="J93" s="68"/>
      <c r="K93" s="68"/>
      <c r="L93" s="103">
        <f t="shared" si="20"/>
        <v>15030862</v>
      </c>
      <c r="M93" s="105"/>
      <c r="N93" s="68">
        <v>5000</v>
      </c>
      <c r="O93" s="68" t="s">
        <v>743</v>
      </c>
      <c r="P93" s="68">
        <v>7000000</v>
      </c>
      <c r="Q93" s="68">
        <v>0</v>
      </c>
      <c r="R93" s="68">
        <v>0</v>
      </c>
      <c r="S93" s="68">
        <v>0</v>
      </c>
      <c r="T93" s="103">
        <f t="shared" si="21"/>
        <v>7000000</v>
      </c>
      <c r="U93" s="105"/>
      <c r="V93" s="68"/>
      <c r="W93" s="68"/>
      <c r="X93" s="68"/>
      <c r="Y93" s="68"/>
      <c r="Z93" s="68"/>
      <c r="AA93" s="68"/>
      <c r="AB93" s="103">
        <f t="shared" si="22"/>
        <v>0</v>
      </c>
      <c r="AC93" s="105"/>
      <c r="AD93" s="68">
        <f t="shared" si="23"/>
        <v>5000</v>
      </c>
      <c r="AE93" s="68" t="str">
        <f t="shared" si="24"/>
        <v/>
      </c>
      <c r="AF93" s="68">
        <f t="shared" si="25"/>
        <v>7000000</v>
      </c>
      <c r="AG93" s="68">
        <f t="shared" si="26"/>
        <v>0</v>
      </c>
      <c r="AH93" s="68">
        <f t="shared" si="27"/>
        <v>0</v>
      </c>
      <c r="AI93" s="68">
        <f t="shared" si="28"/>
        <v>0</v>
      </c>
      <c r="AJ93" s="103">
        <f t="shared" si="29"/>
        <v>7000000</v>
      </c>
      <c r="AK93" s="105"/>
      <c r="AL93" s="68"/>
    </row>
    <row r="94" spans="2:38" ht="20.100000000000001" customHeight="1" outlineLevel="1" x14ac:dyDescent="0.3">
      <c r="B94" s="110" t="s">
        <v>680</v>
      </c>
      <c r="C94" s="110" t="s">
        <v>261</v>
      </c>
      <c r="D94" s="110" t="s">
        <v>491</v>
      </c>
      <c r="E94" s="105"/>
      <c r="F94" s="68">
        <v>0</v>
      </c>
      <c r="G94" s="68"/>
      <c r="H94" s="68"/>
      <c r="I94" s="68">
        <v>47006427</v>
      </c>
      <c r="J94" s="68"/>
      <c r="K94" s="68"/>
      <c r="L94" s="103">
        <f t="shared" si="20"/>
        <v>47006427</v>
      </c>
      <c r="M94" s="105"/>
      <c r="N94" s="68">
        <v>2225</v>
      </c>
      <c r="O94" s="68" t="s">
        <v>548</v>
      </c>
      <c r="P94" s="68">
        <v>944738.15999999898</v>
      </c>
      <c r="Q94" s="68">
        <v>359247.26</v>
      </c>
      <c r="R94" s="68">
        <v>0</v>
      </c>
      <c r="S94" s="68">
        <v>34571978.75</v>
      </c>
      <c r="T94" s="103">
        <f t="shared" si="21"/>
        <v>35875964.170000002</v>
      </c>
      <c r="U94" s="105"/>
      <c r="V94" s="68"/>
      <c r="W94" s="68"/>
      <c r="X94" s="68"/>
      <c r="Y94" s="68"/>
      <c r="Z94" s="68"/>
      <c r="AA94" s="68"/>
      <c r="AB94" s="103">
        <f t="shared" si="22"/>
        <v>0</v>
      </c>
      <c r="AC94" s="105"/>
      <c r="AD94" s="68">
        <f t="shared" si="23"/>
        <v>2225</v>
      </c>
      <c r="AE94" s="68" t="str">
        <f t="shared" si="24"/>
        <v/>
      </c>
      <c r="AF94" s="68">
        <f t="shared" si="25"/>
        <v>944738.15999999898</v>
      </c>
      <c r="AG94" s="68">
        <f t="shared" si="26"/>
        <v>359247.26</v>
      </c>
      <c r="AH94" s="68">
        <f t="shared" si="27"/>
        <v>0</v>
      </c>
      <c r="AI94" s="68">
        <f t="shared" si="28"/>
        <v>34571978.75</v>
      </c>
      <c r="AJ94" s="103">
        <f t="shared" si="29"/>
        <v>35875964.170000002</v>
      </c>
      <c r="AK94" s="105"/>
      <c r="AL94" s="68"/>
    </row>
    <row r="95" spans="2:38" ht="20.100000000000001" customHeight="1" outlineLevel="1" x14ac:dyDescent="0.3">
      <c r="B95" s="110" t="s">
        <v>681</v>
      </c>
      <c r="C95" s="110" t="s">
        <v>682</v>
      </c>
      <c r="D95" s="110" t="s">
        <v>508</v>
      </c>
      <c r="E95" s="105"/>
      <c r="F95" s="68">
        <v>0</v>
      </c>
      <c r="G95" s="68"/>
      <c r="H95" s="68">
        <v>70371.839999999997</v>
      </c>
      <c r="I95" s="68"/>
      <c r="J95" s="68"/>
      <c r="K95" s="68"/>
      <c r="L95" s="103">
        <f t="shared" si="20"/>
        <v>70371.839999999997</v>
      </c>
      <c r="M95" s="105"/>
      <c r="N95" s="68"/>
      <c r="O95" s="68"/>
      <c r="P95" s="68"/>
      <c r="Q95" s="68"/>
      <c r="R95" s="68"/>
      <c r="S95" s="68"/>
      <c r="T95" s="103">
        <f t="shared" si="21"/>
        <v>0</v>
      </c>
      <c r="U95" s="105"/>
      <c r="V95" s="68"/>
      <c r="W95" s="68"/>
      <c r="X95" s="68"/>
      <c r="Y95" s="68"/>
      <c r="Z95" s="68"/>
      <c r="AA95" s="68"/>
      <c r="AB95" s="103">
        <f t="shared" si="22"/>
        <v>0</v>
      </c>
      <c r="AC95" s="105"/>
      <c r="AD95" s="68">
        <f t="shared" si="23"/>
        <v>0</v>
      </c>
      <c r="AE95" s="68" t="str">
        <f t="shared" si="24"/>
        <v/>
      </c>
      <c r="AF95" s="68">
        <f t="shared" si="25"/>
        <v>0</v>
      </c>
      <c r="AG95" s="68">
        <f t="shared" si="26"/>
        <v>0</v>
      </c>
      <c r="AH95" s="68">
        <f t="shared" si="27"/>
        <v>0</v>
      </c>
      <c r="AI95" s="68">
        <f t="shared" si="28"/>
        <v>0</v>
      </c>
      <c r="AJ95" s="103">
        <f t="shared" si="29"/>
        <v>0</v>
      </c>
      <c r="AK95" s="105"/>
      <c r="AL95" s="68"/>
    </row>
    <row r="96" spans="2:38" ht="20.100000000000001" customHeight="1" outlineLevel="1" x14ac:dyDescent="0.3">
      <c r="B96" s="107" t="s">
        <v>683</v>
      </c>
      <c r="C96" s="107" t="s">
        <v>262</v>
      </c>
      <c r="D96" s="107" t="s">
        <v>684</v>
      </c>
      <c r="E96" s="105"/>
      <c r="F96" s="102"/>
      <c r="G96" s="102"/>
      <c r="H96" s="102">
        <f>H97</f>
        <v>0</v>
      </c>
      <c r="I96" s="102">
        <f>I97</f>
        <v>5885000</v>
      </c>
      <c r="J96" s="102">
        <f>J97</f>
        <v>0</v>
      </c>
      <c r="K96" s="102">
        <f>K97</f>
        <v>0</v>
      </c>
      <c r="L96" s="103">
        <f t="shared" si="20"/>
        <v>5885000</v>
      </c>
      <c r="M96" s="105"/>
      <c r="N96" s="102"/>
      <c r="O96" s="102"/>
      <c r="P96" s="102">
        <f>P97</f>
        <v>0</v>
      </c>
      <c r="Q96" s="102">
        <f>Q97</f>
        <v>0</v>
      </c>
      <c r="R96" s="102">
        <f>R97</f>
        <v>0</v>
      </c>
      <c r="S96" s="102">
        <f>S97</f>
        <v>0</v>
      </c>
      <c r="T96" s="103">
        <f t="shared" si="21"/>
        <v>0</v>
      </c>
      <c r="U96" s="105"/>
      <c r="V96" s="102"/>
      <c r="W96" s="102"/>
      <c r="X96" s="102">
        <f>X97</f>
        <v>0</v>
      </c>
      <c r="Y96" s="102">
        <f>Y97</f>
        <v>0</v>
      </c>
      <c r="Z96" s="102">
        <f>Z97</f>
        <v>0</v>
      </c>
      <c r="AA96" s="102">
        <f>AA97</f>
        <v>0</v>
      </c>
      <c r="AB96" s="103">
        <f t="shared" si="22"/>
        <v>0</v>
      </c>
      <c r="AC96" s="105"/>
      <c r="AD96" s="102">
        <f t="shared" si="23"/>
        <v>0</v>
      </c>
      <c r="AE96" s="102" t="str">
        <f t="shared" si="24"/>
        <v/>
      </c>
      <c r="AF96" s="102">
        <f t="shared" si="25"/>
        <v>0</v>
      </c>
      <c r="AG96" s="102">
        <f t="shared" si="26"/>
        <v>0</v>
      </c>
      <c r="AH96" s="102">
        <f t="shared" si="27"/>
        <v>0</v>
      </c>
      <c r="AI96" s="102">
        <f t="shared" si="28"/>
        <v>0</v>
      </c>
      <c r="AJ96" s="103">
        <f t="shared" si="29"/>
        <v>0</v>
      </c>
      <c r="AK96" s="105"/>
      <c r="AL96" s="102"/>
    </row>
    <row r="97" spans="2:38" ht="20.100000000000001" customHeight="1" outlineLevel="1" x14ac:dyDescent="0.3">
      <c r="B97" s="110" t="s">
        <v>685</v>
      </c>
      <c r="C97" s="110" t="s">
        <v>265</v>
      </c>
      <c r="D97" s="110" t="s">
        <v>491</v>
      </c>
      <c r="E97" s="105"/>
      <c r="F97" s="68">
        <v>0</v>
      </c>
      <c r="G97" s="68"/>
      <c r="H97" s="68"/>
      <c r="I97" s="68">
        <v>5885000</v>
      </c>
      <c r="J97" s="68"/>
      <c r="K97" s="68"/>
      <c r="L97" s="103">
        <f t="shared" si="20"/>
        <v>5885000</v>
      </c>
      <c r="M97" s="105"/>
      <c r="N97" s="68"/>
      <c r="O97" s="68"/>
      <c r="P97" s="68"/>
      <c r="Q97" s="68"/>
      <c r="R97" s="68"/>
      <c r="S97" s="68"/>
      <c r="T97" s="103">
        <f t="shared" si="21"/>
        <v>0</v>
      </c>
      <c r="U97" s="105"/>
      <c r="V97" s="68"/>
      <c r="W97" s="68"/>
      <c r="X97" s="68"/>
      <c r="Y97" s="68"/>
      <c r="Z97" s="68"/>
      <c r="AA97" s="68"/>
      <c r="AB97" s="103">
        <f t="shared" si="22"/>
        <v>0</v>
      </c>
      <c r="AC97" s="105"/>
      <c r="AD97" s="68">
        <f t="shared" si="23"/>
        <v>0</v>
      </c>
      <c r="AE97" s="68" t="str">
        <f t="shared" si="24"/>
        <v/>
      </c>
      <c r="AF97" s="68">
        <f t="shared" si="25"/>
        <v>0</v>
      </c>
      <c r="AG97" s="68">
        <f t="shared" si="26"/>
        <v>0</v>
      </c>
      <c r="AH97" s="68">
        <f t="shared" si="27"/>
        <v>0</v>
      </c>
      <c r="AI97" s="68">
        <f t="shared" si="28"/>
        <v>0</v>
      </c>
      <c r="AJ97" s="103">
        <f t="shared" si="29"/>
        <v>0</v>
      </c>
      <c r="AK97" s="105"/>
      <c r="AL97" s="68"/>
    </row>
    <row r="98" spans="2:38" ht="20.100000000000001" customHeight="1" outlineLevel="1" x14ac:dyDescent="0.3">
      <c r="B98" s="107" t="s">
        <v>686</v>
      </c>
      <c r="C98" s="107" t="s">
        <v>687</v>
      </c>
      <c r="D98" s="107" t="s">
        <v>688</v>
      </c>
      <c r="E98" s="105"/>
      <c r="F98" s="102"/>
      <c r="G98" s="102"/>
      <c r="H98" s="102">
        <f>SUM(H99,H102)</f>
        <v>5297314.75</v>
      </c>
      <c r="I98" s="102">
        <f>SUM(I99,I102)</f>
        <v>4563840.4000000004</v>
      </c>
      <c r="J98" s="102">
        <f>SUM(J99,J102)</f>
        <v>0</v>
      </c>
      <c r="K98" s="102">
        <f>SUM(K99,K102)</f>
        <v>0</v>
      </c>
      <c r="L98" s="103">
        <f t="shared" si="20"/>
        <v>9861155.1500000004</v>
      </c>
      <c r="M98" s="105"/>
      <c r="N98" s="102"/>
      <c r="O98" s="102"/>
      <c r="P98" s="102">
        <f>SUM(P99,P102)</f>
        <v>23800</v>
      </c>
      <c r="Q98" s="102">
        <f>SUM(Q99,Q102)</f>
        <v>0</v>
      </c>
      <c r="R98" s="102">
        <f>SUM(R99,R102)</f>
        <v>0</v>
      </c>
      <c r="S98" s="102">
        <f>SUM(S99,S102)</f>
        <v>0</v>
      </c>
      <c r="T98" s="103">
        <f t="shared" si="21"/>
        <v>23800</v>
      </c>
      <c r="U98" s="105"/>
      <c r="V98" s="102"/>
      <c r="W98" s="102"/>
      <c r="X98" s="102">
        <f>SUM(X99,X102)</f>
        <v>0</v>
      </c>
      <c r="Y98" s="102">
        <f>SUM(Y99,Y102)</f>
        <v>0</v>
      </c>
      <c r="Z98" s="102">
        <f>SUM(Z99,Z102)</f>
        <v>0</v>
      </c>
      <c r="AA98" s="102">
        <f>SUM(AA99,AA102)</f>
        <v>0</v>
      </c>
      <c r="AB98" s="103">
        <f t="shared" si="22"/>
        <v>0</v>
      </c>
      <c r="AC98" s="105"/>
      <c r="AD98" s="102">
        <f t="shared" si="23"/>
        <v>0</v>
      </c>
      <c r="AE98" s="102" t="str">
        <f t="shared" si="24"/>
        <v/>
      </c>
      <c r="AF98" s="102">
        <f t="shared" si="25"/>
        <v>23800</v>
      </c>
      <c r="AG98" s="102">
        <f t="shared" si="26"/>
        <v>0</v>
      </c>
      <c r="AH98" s="102">
        <f t="shared" si="27"/>
        <v>0</v>
      </c>
      <c r="AI98" s="102">
        <f t="shared" si="28"/>
        <v>0</v>
      </c>
      <c r="AJ98" s="103">
        <f t="shared" si="29"/>
        <v>23800</v>
      </c>
      <c r="AK98" s="105"/>
      <c r="AL98" s="102"/>
    </row>
    <row r="99" spans="2:38" ht="20.100000000000001" customHeight="1" outlineLevel="1" x14ac:dyDescent="0.3">
      <c r="B99" s="108" t="s">
        <v>689</v>
      </c>
      <c r="C99" s="108" t="s">
        <v>690</v>
      </c>
      <c r="D99" s="108" t="s">
        <v>483</v>
      </c>
      <c r="E99" s="105"/>
      <c r="F99" s="102"/>
      <c r="G99" s="102"/>
      <c r="H99" s="102">
        <f>SUM(H100,H101)</f>
        <v>5297314.75</v>
      </c>
      <c r="I99" s="102">
        <f>SUM(I100,I101)</f>
        <v>0</v>
      </c>
      <c r="J99" s="102">
        <f>SUM(J100,J101)</f>
        <v>0</v>
      </c>
      <c r="K99" s="102">
        <f>SUM(K100,K101)</f>
        <v>0</v>
      </c>
      <c r="L99" s="103">
        <f t="shared" si="20"/>
        <v>5297314.75</v>
      </c>
      <c r="M99" s="105"/>
      <c r="N99" s="102"/>
      <c r="O99" s="102"/>
      <c r="P99" s="102">
        <f>SUM(P100,P101)</f>
        <v>23800</v>
      </c>
      <c r="Q99" s="102">
        <f>SUM(Q100,Q101)</f>
        <v>0</v>
      </c>
      <c r="R99" s="102">
        <f>SUM(R100,R101)</f>
        <v>0</v>
      </c>
      <c r="S99" s="102">
        <f>SUM(S100,S101)</f>
        <v>0</v>
      </c>
      <c r="T99" s="103">
        <f t="shared" si="21"/>
        <v>23800</v>
      </c>
      <c r="U99" s="105"/>
      <c r="V99" s="102"/>
      <c r="W99" s="102"/>
      <c r="X99" s="102">
        <f>SUM(X100,X101)</f>
        <v>0</v>
      </c>
      <c r="Y99" s="102">
        <f>SUM(Y100,Y101)</f>
        <v>0</v>
      </c>
      <c r="Z99" s="102">
        <f>SUM(Z100,Z101)</f>
        <v>0</v>
      </c>
      <c r="AA99" s="102">
        <f>SUM(AA100,AA101)</f>
        <v>0</v>
      </c>
      <c r="AB99" s="103">
        <f t="shared" si="22"/>
        <v>0</v>
      </c>
      <c r="AC99" s="105"/>
      <c r="AD99" s="102">
        <f t="shared" si="23"/>
        <v>0</v>
      </c>
      <c r="AE99" s="102" t="str">
        <f t="shared" si="24"/>
        <v/>
      </c>
      <c r="AF99" s="102">
        <f t="shared" si="25"/>
        <v>23800</v>
      </c>
      <c r="AG99" s="102">
        <f t="shared" si="26"/>
        <v>0</v>
      </c>
      <c r="AH99" s="102">
        <f t="shared" si="27"/>
        <v>0</v>
      </c>
      <c r="AI99" s="102">
        <f t="shared" si="28"/>
        <v>0</v>
      </c>
      <c r="AJ99" s="103">
        <f t="shared" si="29"/>
        <v>23800</v>
      </c>
      <c r="AK99" s="105"/>
      <c r="AL99" s="102"/>
    </row>
    <row r="100" spans="2:38" ht="20.100000000000001" customHeight="1" outlineLevel="1" x14ac:dyDescent="0.3">
      <c r="B100" s="109" t="s">
        <v>691</v>
      </c>
      <c r="C100" s="109" t="s">
        <v>692</v>
      </c>
      <c r="D100" s="109" t="s">
        <v>693</v>
      </c>
      <c r="E100" s="105"/>
      <c r="F100" s="68">
        <v>0</v>
      </c>
      <c r="G100" s="68"/>
      <c r="H100" s="68">
        <v>4563840.4000000004</v>
      </c>
      <c r="I100" s="68"/>
      <c r="J100" s="68"/>
      <c r="K100" s="68"/>
      <c r="L100" s="103">
        <f t="shared" si="20"/>
        <v>4563840.4000000004</v>
      </c>
      <c r="M100" s="105"/>
      <c r="N100" s="68">
        <v>85</v>
      </c>
      <c r="O100" s="68" t="s">
        <v>564</v>
      </c>
      <c r="P100" s="68">
        <v>23800</v>
      </c>
      <c r="Q100" s="68">
        <v>0</v>
      </c>
      <c r="R100" s="68">
        <v>0</v>
      </c>
      <c r="S100" s="68">
        <v>0</v>
      </c>
      <c r="T100" s="103">
        <f t="shared" si="21"/>
        <v>23800</v>
      </c>
      <c r="U100" s="105"/>
      <c r="V100" s="68"/>
      <c r="W100" s="68"/>
      <c r="X100" s="68"/>
      <c r="Y100" s="68"/>
      <c r="Z100" s="68"/>
      <c r="AA100" s="68"/>
      <c r="AB100" s="103">
        <f t="shared" si="22"/>
        <v>0</v>
      </c>
      <c r="AC100" s="105"/>
      <c r="AD100" s="68">
        <f t="shared" si="23"/>
        <v>85</v>
      </c>
      <c r="AE100" s="68" t="str">
        <f t="shared" si="24"/>
        <v/>
      </c>
      <c r="AF100" s="68">
        <f t="shared" si="25"/>
        <v>23800</v>
      </c>
      <c r="AG100" s="68">
        <f t="shared" si="26"/>
        <v>0</v>
      </c>
      <c r="AH100" s="68">
        <f t="shared" si="27"/>
        <v>0</v>
      </c>
      <c r="AI100" s="68">
        <f t="shared" si="28"/>
        <v>0</v>
      </c>
      <c r="AJ100" s="103">
        <f t="shared" si="29"/>
        <v>23800</v>
      </c>
      <c r="AK100" s="105"/>
      <c r="AL100" s="68"/>
    </row>
    <row r="101" spans="2:38" ht="20.100000000000001" customHeight="1" outlineLevel="1" x14ac:dyDescent="0.3">
      <c r="B101" s="109" t="s">
        <v>694</v>
      </c>
      <c r="C101" s="109" t="s">
        <v>695</v>
      </c>
      <c r="D101" s="109" t="s">
        <v>696</v>
      </c>
      <c r="E101" s="105"/>
      <c r="F101" s="68">
        <v>0</v>
      </c>
      <c r="G101" s="68"/>
      <c r="H101" s="68">
        <v>733474.35</v>
      </c>
      <c r="I101" s="68"/>
      <c r="J101" s="68"/>
      <c r="K101" s="68"/>
      <c r="L101" s="103">
        <f t="shared" si="20"/>
        <v>733474.35</v>
      </c>
      <c r="M101" s="105"/>
      <c r="N101" s="68"/>
      <c r="O101" s="68"/>
      <c r="P101" s="68"/>
      <c r="Q101" s="68"/>
      <c r="R101" s="68"/>
      <c r="S101" s="68"/>
      <c r="T101" s="103">
        <f t="shared" si="21"/>
        <v>0</v>
      </c>
      <c r="U101" s="105"/>
      <c r="V101" s="68"/>
      <c r="W101" s="68"/>
      <c r="X101" s="68"/>
      <c r="Y101" s="68"/>
      <c r="Z101" s="68"/>
      <c r="AA101" s="68"/>
      <c r="AB101" s="103">
        <f t="shared" si="22"/>
        <v>0</v>
      </c>
      <c r="AC101" s="105"/>
      <c r="AD101" s="68">
        <f t="shared" si="23"/>
        <v>0</v>
      </c>
      <c r="AE101" s="68" t="str">
        <f t="shared" si="24"/>
        <v/>
      </c>
      <c r="AF101" s="68">
        <f t="shared" si="25"/>
        <v>0</v>
      </c>
      <c r="AG101" s="68">
        <f t="shared" si="26"/>
        <v>0</v>
      </c>
      <c r="AH101" s="68">
        <f t="shared" si="27"/>
        <v>0</v>
      </c>
      <c r="AI101" s="68">
        <f t="shared" si="28"/>
        <v>0</v>
      </c>
      <c r="AJ101" s="103">
        <f t="shared" si="29"/>
        <v>0</v>
      </c>
      <c r="AK101" s="105"/>
      <c r="AL101" s="68"/>
    </row>
    <row r="102" spans="2:38" ht="20.100000000000001" customHeight="1" outlineLevel="1" x14ac:dyDescent="0.3">
      <c r="B102" s="110" t="s">
        <v>697</v>
      </c>
      <c r="C102" s="110" t="s">
        <v>698</v>
      </c>
      <c r="D102" s="110" t="s">
        <v>491</v>
      </c>
      <c r="E102" s="105"/>
      <c r="F102" s="68">
        <v>0</v>
      </c>
      <c r="G102" s="68"/>
      <c r="H102" s="68"/>
      <c r="I102" s="68">
        <v>4563840.4000000004</v>
      </c>
      <c r="J102" s="68"/>
      <c r="K102" s="68"/>
      <c r="L102" s="103">
        <f t="shared" si="20"/>
        <v>4563840.4000000004</v>
      </c>
      <c r="M102" s="105"/>
      <c r="N102" s="68"/>
      <c r="O102" s="68"/>
      <c r="P102" s="68"/>
      <c r="Q102" s="68"/>
      <c r="R102" s="68"/>
      <c r="S102" s="68"/>
      <c r="T102" s="103">
        <f t="shared" si="21"/>
        <v>0</v>
      </c>
      <c r="U102" s="105"/>
      <c r="V102" s="68"/>
      <c r="W102" s="68"/>
      <c r="X102" s="68"/>
      <c r="Y102" s="68"/>
      <c r="Z102" s="68"/>
      <c r="AA102" s="68"/>
      <c r="AB102" s="103">
        <f t="shared" si="22"/>
        <v>0</v>
      </c>
      <c r="AC102" s="105"/>
      <c r="AD102" s="68">
        <f t="shared" si="23"/>
        <v>0</v>
      </c>
      <c r="AE102" s="68" t="str">
        <f t="shared" si="24"/>
        <v/>
      </c>
      <c r="AF102" s="68">
        <f t="shared" si="25"/>
        <v>0</v>
      </c>
      <c r="AG102" s="68">
        <f t="shared" si="26"/>
        <v>0</v>
      </c>
      <c r="AH102" s="68">
        <f t="shared" si="27"/>
        <v>0</v>
      </c>
      <c r="AI102" s="68">
        <f t="shared" si="28"/>
        <v>0</v>
      </c>
      <c r="AJ102" s="103">
        <f t="shared" si="29"/>
        <v>0</v>
      </c>
      <c r="AK102" s="105"/>
      <c r="AL102" s="68"/>
    </row>
    <row r="103" spans="2:38" ht="20.100000000000001" customHeight="1" outlineLevel="1" x14ac:dyDescent="0.3">
      <c r="B103" s="107" t="s">
        <v>699</v>
      </c>
      <c r="C103" s="107" t="s">
        <v>700</v>
      </c>
      <c r="D103" s="107" t="s">
        <v>701</v>
      </c>
      <c r="E103" s="105"/>
      <c r="F103" s="102"/>
      <c r="G103" s="102"/>
      <c r="H103" s="102">
        <f>SUM(H104,H107,H108)</f>
        <v>3726287.5</v>
      </c>
      <c r="I103" s="102">
        <f>SUM(I104,I107,I108)</f>
        <v>3287049.9</v>
      </c>
      <c r="J103" s="102">
        <f>SUM(J104,J107,J108)</f>
        <v>0</v>
      </c>
      <c r="K103" s="102">
        <f>SUM(K104,K107,K108)</f>
        <v>0</v>
      </c>
      <c r="L103" s="103">
        <f t="shared" si="20"/>
        <v>7013337.4000000004</v>
      </c>
      <c r="M103" s="105"/>
      <c r="N103" s="102"/>
      <c r="O103" s="102"/>
      <c r="P103" s="102">
        <f>SUM(P104,P107,P108)</f>
        <v>0</v>
      </c>
      <c r="Q103" s="102">
        <f>SUM(Q104,Q107,Q108)</f>
        <v>0</v>
      </c>
      <c r="R103" s="102">
        <f>SUM(R104,R107,R108)</f>
        <v>0</v>
      </c>
      <c r="S103" s="102">
        <f>SUM(S104,S107,S108)</f>
        <v>0</v>
      </c>
      <c r="T103" s="103">
        <f t="shared" si="21"/>
        <v>0</v>
      </c>
      <c r="U103" s="105"/>
      <c r="V103" s="102"/>
      <c r="W103" s="102"/>
      <c r="X103" s="102">
        <f>SUM(X104,X107,X108)</f>
        <v>0</v>
      </c>
      <c r="Y103" s="102">
        <f>SUM(Y104,Y107,Y108)</f>
        <v>0</v>
      </c>
      <c r="Z103" s="102">
        <f>SUM(Z104,Z107,Z108)</f>
        <v>0</v>
      </c>
      <c r="AA103" s="102">
        <f>SUM(AA104,AA107,AA108)</f>
        <v>0</v>
      </c>
      <c r="AB103" s="103">
        <f t="shared" si="22"/>
        <v>0</v>
      </c>
      <c r="AC103" s="105"/>
      <c r="AD103" s="102">
        <f t="shared" si="23"/>
        <v>0</v>
      </c>
      <c r="AE103" s="102" t="str">
        <f t="shared" si="24"/>
        <v/>
      </c>
      <c r="AF103" s="102">
        <f t="shared" si="25"/>
        <v>0</v>
      </c>
      <c r="AG103" s="102">
        <f t="shared" si="26"/>
        <v>0</v>
      </c>
      <c r="AH103" s="102">
        <f t="shared" si="27"/>
        <v>0</v>
      </c>
      <c r="AI103" s="102">
        <f t="shared" si="28"/>
        <v>0</v>
      </c>
      <c r="AJ103" s="103">
        <f t="shared" si="29"/>
        <v>0</v>
      </c>
      <c r="AK103" s="105"/>
      <c r="AL103" s="102"/>
    </row>
    <row r="104" spans="2:38" ht="20.100000000000001" customHeight="1" outlineLevel="1" x14ac:dyDescent="0.3">
      <c r="B104" s="108" t="s">
        <v>702</v>
      </c>
      <c r="C104" s="108" t="s">
        <v>703</v>
      </c>
      <c r="D104" s="108" t="s">
        <v>483</v>
      </c>
      <c r="E104" s="105"/>
      <c r="F104" s="102"/>
      <c r="G104" s="102"/>
      <c r="H104" s="102">
        <f>SUM(H105,H106)</f>
        <v>3726287.5</v>
      </c>
      <c r="I104" s="102">
        <f>SUM(I105,I106)</f>
        <v>0</v>
      </c>
      <c r="J104" s="102">
        <f>SUM(J105,J106)</f>
        <v>0</v>
      </c>
      <c r="K104" s="102">
        <f>SUM(K105,K106)</f>
        <v>0</v>
      </c>
      <c r="L104" s="103">
        <f t="shared" si="20"/>
        <v>3726287.5</v>
      </c>
      <c r="M104" s="105"/>
      <c r="N104" s="102"/>
      <c r="O104" s="102"/>
      <c r="P104" s="102">
        <f>SUM(P105,P106)</f>
        <v>0</v>
      </c>
      <c r="Q104" s="102">
        <f>SUM(Q105,Q106)</f>
        <v>0</v>
      </c>
      <c r="R104" s="102">
        <f>SUM(R105,R106)</f>
        <v>0</v>
      </c>
      <c r="S104" s="102">
        <f>SUM(S105,S106)</f>
        <v>0</v>
      </c>
      <c r="T104" s="103">
        <f t="shared" si="21"/>
        <v>0</v>
      </c>
      <c r="U104" s="105"/>
      <c r="V104" s="102"/>
      <c r="W104" s="102"/>
      <c r="X104" s="102">
        <f>SUM(X105,X106)</f>
        <v>0</v>
      </c>
      <c r="Y104" s="102">
        <f>SUM(Y105,Y106)</f>
        <v>0</v>
      </c>
      <c r="Z104" s="102">
        <f>SUM(Z105,Z106)</f>
        <v>0</v>
      </c>
      <c r="AA104" s="102">
        <f>SUM(AA105,AA106)</f>
        <v>0</v>
      </c>
      <c r="AB104" s="103">
        <f t="shared" si="22"/>
        <v>0</v>
      </c>
      <c r="AC104" s="105"/>
      <c r="AD104" s="102">
        <f t="shared" si="23"/>
        <v>0</v>
      </c>
      <c r="AE104" s="102" t="str">
        <f t="shared" si="24"/>
        <v/>
      </c>
      <c r="AF104" s="102">
        <f t="shared" si="25"/>
        <v>0</v>
      </c>
      <c r="AG104" s="102">
        <f t="shared" si="26"/>
        <v>0</v>
      </c>
      <c r="AH104" s="102">
        <f t="shared" si="27"/>
        <v>0</v>
      </c>
      <c r="AI104" s="102">
        <f t="shared" si="28"/>
        <v>0</v>
      </c>
      <c r="AJ104" s="103">
        <f t="shared" si="29"/>
        <v>0</v>
      </c>
      <c r="AK104" s="105"/>
      <c r="AL104" s="102"/>
    </row>
    <row r="105" spans="2:38" ht="20.100000000000001" customHeight="1" outlineLevel="1" x14ac:dyDescent="0.3">
      <c r="B105" s="109" t="s">
        <v>704</v>
      </c>
      <c r="C105" s="109" t="s">
        <v>705</v>
      </c>
      <c r="D105" s="109" t="s">
        <v>693</v>
      </c>
      <c r="E105" s="105"/>
      <c r="F105" s="68">
        <v>0</v>
      </c>
      <c r="G105" s="68"/>
      <c r="H105" s="68">
        <v>3210340</v>
      </c>
      <c r="I105" s="68"/>
      <c r="J105" s="68"/>
      <c r="K105" s="68"/>
      <c r="L105" s="103">
        <f t="shared" si="20"/>
        <v>3210340</v>
      </c>
      <c r="M105" s="105"/>
      <c r="N105" s="68"/>
      <c r="O105" s="68"/>
      <c r="P105" s="68"/>
      <c r="Q105" s="68"/>
      <c r="R105" s="68"/>
      <c r="S105" s="68"/>
      <c r="T105" s="103">
        <f t="shared" si="21"/>
        <v>0</v>
      </c>
      <c r="U105" s="105"/>
      <c r="V105" s="68"/>
      <c r="W105" s="68"/>
      <c r="X105" s="68"/>
      <c r="Y105" s="68"/>
      <c r="Z105" s="68"/>
      <c r="AA105" s="68"/>
      <c r="AB105" s="103">
        <f t="shared" si="22"/>
        <v>0</v>
      </c>
      <c r="AC105" s="105"/>
      <c r="AD105" s="68">
        <f t="shared" si="23"/>
        <v>0</v>
      </c>
      <c r="AE105" s="68" t="str">
        <f t="shared" si="24"/>
        <v/>
      </c>
      <c r="AF105" s="68">
        <f t="shared" si="25"/>
        <v>0</v>
      </c>
      <c r="AG105" s="68">
        <f t="shared" si="26"/>
        <v>0</v>
      </c>
      <c r="AH105" s="68">
        <f t="shared" si="27"/>
        <v>0</v>
      </c>
      <c r="AI105" s="68">
        <f t="shared" si="28"/>
        <v>0</v>
      </c>
      <c r="AJ105" s="103">
        <f t="shared" si="29"/>
        <v>0</v>
      </c>
      <c r="AK105" s="105"/>
      <c r="AL105" s="68"/>
    </row>
    <row r="106" spans="2:38" ht="20.100000000000001" customHeight="1" outlineLevel="1" x14ac:dyDescent="0.3">
      <c r="B106" s="109" t="s">
        <v>706</v>
      </c>
      <c r="C106" s="109" t="s">
        <v>707</v>
      </c>
      <c r="D106" s="109" t="s">
        <v>696</v>
      </c>
      <c r="E106" s="105"/>
      <c r="F106" s="68">
        <v>0</v>
      </c>
      <c r="G106" s="68"/>
      <c r="H106" s="68">
        <v>515947.5</v>
      </c>
      <c r="I106" s="68"/>
      <c r="J106" s="68"/>
      <c r="K106" s="68"/>
      <c r="L106" s="103">
        <f t="shared" si="20"/>
        <v>515947.5</v>
      </c>
      <c r="M106" s="105"/>
      <c r="N106" s="68"/>
      <c r="O106" s="68"/>
      <c r="P106" s="68"/>
      <c r="Q106" s="68"/>
      <c r="R106" s="68"/>
      <c r="S106" s="68"/>
      <c r="T106" s="103">
        <f t="shared" si="21"/>
        <v>0</v>
      </c>
      <c r="U106" s="105"/>
      <c r="V106" s="68"/>
      <c r="W106" s="68"/>
      <c r="X106" s="68"/>
      <c r="Y106" s="68"/>
      <c r="Z106" s="68"/>
      <c r="AA106" s="68"/>
      <c r="AB106" s="103">
        <f t="shared" si="22"/>
        <v>0</v>
      </c>
      <c r="AC106" s="105"/>
      <c r="AD106" s="68">
        <f t="shared" si="23"/>
        <v>0</v>
      </c>
      <c r="AE106" s="68" t="str">
        <f t="shared" si="24"/>
        <v/>
      </c>
      <c r="AF106" s="68">
        <f t="shared" si="25"/>
        <v>0</v>
      </c>
      <c r="AG106" s="68">
        <f t="shared" si="26"/>
        <v>0</v>
      </c>
      <c r="AH106" s="68">
        <f t="shared" si="27"/>
        <v>0</v>
      </c>
      <c r="AI106" s="68">
        <f t="shared" si="28"/>
        <v>0</v>
      </c>
      <c r="AJ106" s="103">
        <f t="shared" si="29"/>
        <v>0</v>
      </c>
      <c r="AK106" s="105"/>
      <c r="AL106" s="68"/>
    </row>
    <row r="107" spans="2:38" ht="20.100000000000001" customHeight="1" outlineLevel="1" x14ac:dyDescent="0.3">
      <c r="B107" s="110" t="s">
        <v>708</v>
      </c>
      <c r="C107" s="110" t="s">
        <v>709</v>
      </c>
      <c r="D107" s="110" t="s">
        <v>491</v>
      </c>
      <c r="E107" s="105"/>
      <c r="F107" s="68">
        <v>0</v>
      </c>
      <c r="G107" s="68"/>
      <c r="H107" s="68"/>
      <c r="I107" s="68">
        <v>3210340</v>
      </c>
      <c r="J107" s="68"/>
      <c r="K107" s="68"/>
      <c r="L107" s="103">
        <f t="shared" si="20"/>
        <v>3210340</v>
      </c>
      <c r="M107" s="105"/>
      <c r="N107" s="68"/>
      <c r="O107" s="68"/>
      <c r="P107" s="68"/>
      <c r="Q107" s="68"/>
      <c r="R107" s="68"/>
      <c r="S107" s="68"/>
      <c r="T107" s="103">
        <f t="shared" si="21"/>
        <v>0</v>
      </c>
      <c r="U107" s="105"/>
      <c r="V107" s="68"/>
      <c r="W107" s="68"/>
      <c r="X107" s="68"/>
      <c r="Y107" s="68"/>
      <c r="Z107" s="68"/>
      <c r="AA107" s="68"/>
      <c r="AB107" s="103">
        <f t="shared" si="22"/>
        <v>0</v>
      </c>
      <c r="AC107" s="105"/>
      <c r="AD107" s="68">
        <f t="shared" si="23"/>
        <v>0</v>
      </c>
      <c r="AE107" s="68" t="str">
        <f t="shared" si="24"/>
        <v/>
      </c>
      <c r="AF107" s="68">
        <f t="shared" si="25"/>
        <v>0</v>
      </c>
      <c r="AG107" s="68">
        <f t="shared" si="26"/>
        <v>0</v>
      </c>
      <c r="AH107" s="68">
        <f t="shared" si="27"/>
        <v>0</v>
      </c>
      <c r="AI107" s="68">
        <f t="shared" si="28"/>
        <v>0</v>
      </c>
      <c r="AJ107" s="103">
        <f t="shared" si="29"/>
        <v>0</v>
      </c>
      <c r="AK107" s="105"/>
      <c r="AL107" s="68"/>
    </row>
    <row r="108" spans="2:38" ht="20.100000000000001" customHeight="1" outlineLevel="1" x14ac:dyDescent="0.3">
      <c r="B108" s="110" t="s">
        <v>710</v>
      </c>
      <c r="C108" s="110" t="s">
        <v>711</v>
      </c>
      <c r="D108" s="110" t="s">
        <v>508</v>
      </c>
      <c r="E108" s="105"/>
      <c r="F108" s="68">
        <v>0</v>
      </c>
      <c r="G108" s="68"/>
      <c r="H108" s="68"/>
      <c r="I108" s="68">
        <v>76709.899999999994</v>
      </c>
      <c r="J108" s="68"/>
      <c r="K108" s="68"/>
      <c r="L108" s="103">
        <f t="shared" si="20"/>
        <v>76709.899999999994</v>
      </c>
      <c r="M108" s="105"/>
      <c r="N108" s="68"/>
      <c r="O108" s="68"/>
      <c r="P108" s="68"/>
      <c r="Q108" s="68"/>
      <c r="R108" s="68"/>
      <c r="S108" s="68"/>
      <c r="T108" s="103">
        <f t="shared" si="21"/>
        <v>0</v>
      </c>
      <c r="U108" s="105"/>
      <c r="V108" s="68"/>
      <c r="W108" s="68"/>
      <c r="X108" s="68"/>
      <c r="Y108" s="68"/>
      <c r="Z108" s="68"/>
      <c r="AA108" s="68"/>
      <c r="AB108" s="103">
        <f t="shared" si="22"/>
        <v>0</v>
      </c>
      <c r="AC108" s="105"/>
      <c r="AD108" s="68">
        <f t="shared" si="23"/>
        <v>0</v>
      </c>
      <c r="AE108" s="68" t="str">
        <f t="shared" si="24"/>
        <v/>
      </c>
      <c r="AF108" s="68">
        <f t="shared" si="25"/>
        <v>0</v>
      </c>
      <c r="AG108" s="68">
        <f t="shared" si="26"/>
        <v>0</v>
      </c>
      <c r="AH108" s="68">
        <f t="shared" si="27"/>
        <v>0</v>
      </c>
      <c r="AI108" s="68">
        <f t="shared" si="28"/>
        <v>0</v>
      </c>
      <c r="AJ108" s="103">
        <f t="shared" si="29"/>
        <v>0</v>
      </c>
      <c r="AK108" s="105"/>
      <c r="AL108" s="68"/>
    </row>
    <row r="109" spans="2:38" ht="20.100000000000001" customHeight="1" outlineLevel="1" x14ac:dyDescent="0.3">
      <c r="B109" s="107" t="s">
        <v>712</v>
      </c>
      <c r="C109" s="107" t="s">
        <v>266</v>
      </c>
      <c r="D109" s="107" t="s">
        <v>505</v>
      </c>
      <c r="E109" s="105"/>
      <c r="F109" s="102"/>
      <c r="G109" s="102"/>
      <c r="H109" s="102">
        <f>H110</f>
        <v>0</v>
      </c>
      <c r="I109" s="102">
        <f>I110</f>
        <v>13735410</v>
      </c>
      <c r="J109" s="102">
        <f>J110</f>
        <v>0</v>
      </c>
      <c r="K109" s="102">
        <f>K110</f>
        <v>0</v>
      </c>
      <c r="L109" s="103">
        <f t="shared" ref="L109:L140" si="30">SUM(H109:K109)</f>
        <v>13735410</v>
      </c>
      <c r="M109" s="105"/>
      <c r="N109" s="102"/>
      <c r="O109" s="102"/>
      <c r="P109" s="102">
        <f>P110</f>
        <v>0</v>
      </c>
      <c r="Q109" s="102">
        <f>Q110</f>
        <v>0</v>
      </c>
      <c r="R109" s="102">
        <f>R110</f>
        <v>0</v>
      </c>
      <c r="S109" s="102">
        <f>S110</f>
        <v>0</v>
      </c>
      <c r="T109" s="103">
        <f t="shared" ref="T109:T140" si="31">SUM(P109:S109)</f>
        <v>0</v>
      </c>
      <c r="U109" s="105"/>
      <c r="V109" s="102"/>
      <c r="W109" s="102"/>
      <c r="X109" s="102">
        <f>X110</f>
        <v>0</v>
      </c>
      <c r="Y109" s="102">
        <f>Y110</f>
        <v>0</v>
      </c>
      <c r="Z109" s="102">
        <f>Z110</f>
        <v>0</v>
      </c>
      <c r="AA109" s="102">
        <f>AA110</f>
        <v>0</v>
      </c>
      <c r="AB109" s="103">
        <f t="shared" ref="AB109:AB140" si="32">SUM(X109:AA109)</f>
        <v>0</v>
      </c>
      <c r="AC109" s="105"/>
      <c r="AD109" s="102">
        <f t="shared" ref="AD109:AD126" si="33">V109+N109</f>
        <v>0</v>
      </c>
      <c r="AE109" s="102" t="str">
        <f t="shared" ref="AE109:AE126" si="34">IF(W109&lt;&gt;"",W109,"")</f>
        <v/>
      </c>
      <c r="AF109" s="102">
        <f t="shared" ref="AF109:AF126" si="35">X109+P109</f>
        <v>0</v>
      </c>
      <c r="AG109" s="102">
        <f t="shared" ref="AG109:AG126" si="36">Y109+Q109</f>
        <v>0</v>
      </c>
      <c r="AH109" s="102">
        <f t="shared" ref="AH109:AH126" si="37">Z109+R109</f>
        <v>0</v>
      </c>
      <c r="AI109" s="102">
        <f t="shared" ref="AI109:AI126" si="38">AA109+S109</f>
        <v>0</v>
      </c>
      <c r="AJ109" s="103">
        <f t="shared" ref="AJ109:AJ140" si="39">SUM(AF109:AI109)</f>
        <v>0</v>
      </c>
      <c r="AK109" s="105"/>
      <c r="AL109" s="102"/>
    </row>
    <row r="110" spans="2:38" ht="20.100000000000001" customHeight="1" outlineLevel="1" x14ac:dyDescent="0.3">
      <c r="B110" s="110" t="s">
        <v>713</v>
      </c>
      <c r="C110" s="110" t="s">
        <v>714</v>
      </c>
      <c r="D110" s="110" t="s">
        <v>491</v>
      </c>
      <c r="E110" s="105"/>
      <c r="F110" s="68">
        <v>0</v>
      </c>
      <c r="G110" s="68"/>
      <c r="H110" s="68"/>
      <c r="I110" s="68">
        <v>13735410</v>
      </c>
      <c r="J110" s="68"/>
      <c r="K110" s="68"/>
      <c r="L110" s="103">
        <f t="shared" si="30"/>
        <v>13735410</v>
      </c>
      <c r="M110" s="105"/>
      <c r="N110" s="68"/>
      <c r="O110" s="68"/>
      <c r="P110" s="68"/>
      <c r="Q110" s="68"/>
      <c r="R110" s="68"/>
      <c r="S110" s="68"/>
      <c r="T110" s="103">
        <f t="shared" si="31"/>
        <v>0</v>
      </c>
      <c r="U110" s="105"/>
      <c r="V110" s="68"/>
      <c r="W110" s="68"/>
      <c r="X110" s="68"/>
      <c r="Y110" s="68"/>
      <c r="Z110" s="68"/>
      <c r="AA110" s="68"/>
      <c r="AB110" s="103">
        <f t="shared" si="32"/>
        <v>0</v>
      </c>
      <c r="AC110" s="105"/>
      <c r="AD110" s="68">
        <f t="shared" si="33"/>
        <v>0</v>
      </c>
      <c r="AE110" s="68" t="str">
        <f t="shared" si="34"/>
        <v/>
      </c>
      <c r="AF110" s="68">
        <f t="shared" si="35"/>
        <v>0</v>
      </c>
      <c r="AG110" s="68">
        <f t="shared" si="36"/>
        <v>0</v>
      </c>
      <c r="AH110" s="68">
        <f t="shared" si="37"/>
        <v>0</v>
      </c>
      <c r="AI110" s="68">
        <f t="shared" si="38"/>
        <v>0</v>
      </c>
      <c r="AJ110" s="103">
        <f t="shared" si="39"/>
        <v>0</v>
      </c>
      <c r="AK110" s="105"/>
      <c r="AL110" s="68"/>
    </row>
    <row r="111" spans="2:38" ht="20.100000000000001" customHeight="1" x14ac:dyDescent="0.3">
      <c r="B111" s="106" t="s">
        <v>715</v>
      </c>
      <c r="C111" s="106" t="s">
        <v>269</v>
      </c>
      <c r="D111" s="106" t="s">
        <v>716</v>
      </c>
      <c r="E111" s="105"/>
      <c r="F111" s="102"/>
      <c r="G111" s="102"/>
      <c r="H111" s="102">
        <f>SUM(H112,H113)</f>
        <v>69252684.030000001</v>
      </c>
      <c r="I111" s="102">
        <f>SUM(I112,I113)</f>
        <v>0</v>
      </c>
      <c r="J111" s="102">
        <f>SUM(J112,J113)</f>
        <v>0</v>
      </c>
      <c r="K111" s="102">
        <f>SUM(K112,K113)</f>
        <v>0</v>
      </c>
      <c r="L111" s="103">
        <f t="shared" si="30"/>
        <v>69252684.030000001</v>
      </c>
      <c r="M111" s="105"/>
      <c r="N111" s="102"/>
      <c r="O111" s="102"/>
      <c r="P111" s="102">
        <f>SUM(P112,P113)</f>
        <v>361760</v>
      </c>
      <c r="Q111" s="102">
        <f>SUM(Q112,Q113)</f>
        <v>0</v>
      </c>
      <c r="R111" s="102">
        <f>SUM(R112,R113)</f>
        <v>0</v>
      </c>
      <c r="S111" s="102">
        <f>SUM(S112,S113)</f>
        <v>51500000</v>
      </c>
      <c r="T111" s="103">
        <f t="shared" si="31"/>
        <v>51861760</v>
      </c>
      <c r="U111" s="105"/>
      <c r="V111" s="102"/>
      <c r="W111" s="102"/>
      <c r="X111" s="102">
        <f>SUM(X112,X113)</f>
        <v>0</v>
      </c>
      <c r="Y111" s="102">
        <f>SUM(Y112,Y113)</f>
        <v>0</v>
      </c>
      <c r="Z111" s="102">
        <f>SUM(Z112,Z113)</f>
        <v>0</v>
      </c>
      <c r="AA111" s="102">
        <f>SUM(AA112,AA113)</f>
        <v>0</v>
      </c>
      <c r="AB111" s="103">
        <f t="shared" si="32"/>
        <v>0</v>
      </c>
      <c r="AC111" s="105"/>
      <c r="AD111" s="102">
        <f t="shared" si="33"/>
        <v>0</v>
      </c>
      <c r="AE111" s="102" t="str">
        <f t="shared" si="34"/>
        <v/>
      </c>
      <c r="AF111" s="102">
        <f t="shared" si="35"/>
        <v>361760</v>
      </c>
      <c r="AG111" s="102">
        <f t="shared" si="36"/>
        <v>0</v>
      </c>
      <c r="AH111" s="102">
        <f t="shared" si="37"/>
        <v>0</v>
      </c>
      <c r="AI111" s="102">
        <f t="shared" si="38"/>
        <v>51500000</v>
      </c>
      <c r="AJ111" s="103">
        <f t="shared" si="39"/>
        <v>51861760</v>
      </c>
      <c r="AK111" s="105"/>
      <c r="AL111" s="102"/>
    </row>
    <row r="112" spans="2:38" ht="20.100000000000001" customHeight="1" outlineLevel="1" x14ac:dyDescent="0.3">
      <c r="B112" s="113" t="s">
        <v>717</v>
      </c>
      <c r="C112" s="113" t="s">
        <v>270</v>
      </c>
      <c r="D112" s="113" t="s">
        <v>718</v>
      </c>
      <c r="E112" s="105"/>
      <c r="F112" s="68">
        <v>0</v>
      </c>
      <c r="G112" s="68"/>
      <c r="H112" s="68">
        <v>54520500.289999999</v>
      </c>
      <c r="I112" s="68"/>
      <c r="J112" s="68"/>
      <c r="K112" s="68"/>
      <c r="L112" s="103">
        <f t="shared" si="30"/>
        <v>54520500.289999999</v>
      </c>
      <c r="M112" s="105"/>
      <c r="N112" s="68">
        <v>2</v>
      </c>
      <c r="O112" s="68" t="s">
        <v>547</v>
      </c>
      <c r="P112" s="68">
        <v>0</v>
      </c>
      <c r="Q112" s="68">
        <v>0</v>
      </c>
      <c r="R112" s="68">
        <v>0</v>
      </c>
      <c r="S112" s="68">
        <v>51500000</v>
      </c>
      <c r="T112" s="103">
        <f t="shared" si="31"/>
        <v>51500000</v>
      </c>
      <c r="U112" s="105"/>
      <c r="V112" s="68"/>
      <c r="W112" s="68"/>
      <c r="X112" s="68"/>
      <c r="Y112" s="68"/>
      <c r="Z112" s="68"/>
      <c r="AA112" s="68"/>
      <c r="AB112" s="103">
        <f t="shared" si="32"/>
        <v>0</v>
      </c>
      <c r="AC112" s="105"/>
      <c r="AD112" s="68">
        <f t="shared" si="33"/>
        <v>2</v>
      </c>
      <c r="AE112" s="68" t="str">
        <f t="shared" si="34"/>
        <v/>
      </c>
      <c r="AF112" s="68">
        <f t="shared" si="35"/>
        <v>0</v>
      </c>
      <c r="AG112" s="68">
        <f t="shared" si="36"/>
        <v>0</v>
      </c>
      <c r="AH112" s="68">
        <f t="shared" si="37"/>
        <v>0</v>
      </c>
      <c r="AI112" s="68">
        <f t="shared" si="38"/>
        <v>51500000</v>
      </c>
      <c r="AJ112" s="103">
        <f t="shared" si="39"/>
        <v>51500000</v>
      </c>
      <c r="AK112" s="105"/>
      <c r="AL112" s="68"/>
    </row>
    <row r="113" spans="2:38" ht="20.100000000000001" customHeight="1" outlineLevel="1" x14ac:dyDescent="0.3">
      <c r="B113" s="113" t="s">
        <v>719</v>
      </c>
      <c r="C113" s="113" t="s">
        <v>720</v>
      </c>
      <c r="D113" s="113" t="s">
        <v>505</v>
      </c>
      <c r="E113" s="105"/>
      <c r="F113" s="68">
        <v>0</v>
      </c>
      <c r="G113" s="68"/>
      <c r="H113" s="68">
        <v>14732183.74</v>
      </c>
      <c r="I113" s="68"/>
      <c r="J113" s="68"/>
      <c r="K113" s="68"/>
      <c r="L113" s="103">
        <f t="shared" si="30"/>
        <v>14732183.74</v>
      </c>
      <c r="M113" s="105"/>
      <c r="N113" s="68">
        <v>272</v>
      </c>
      <c r="O113" s="68" t="s">
        <v>546</v>
      </c>
      <c r="P113" s="68">
        <v>361760</v>
      </c>
      <c r="Q113" s="68">
        <v>0</v>
      </c>
      <c r="R113" s="68">
        <v>0</v>
      </c>
      <c r="S113" s="68">
        <v>0</v>
      </c>
      <c r="T113" s="103">
        <f t="shared" si="31"/>
        <v>361760</v>
      </c>
      <c r="U113" s="105"/>
      <c r="V113" s="68"/>
      <c r="W113" s="68"/>
      <c r="X113" s="68"/>
      <c r="Y113" s="68"/>
      <c r="Z113" s="68"/>
      <c r="AA113" s="68"/>
      <c r="AB113" s="103">
        <f t="shared" si="32"/>
        <v>0</v>
      </c>
      <c r="AC113" s="105"/>
      <c r="AD113" s="68">
        <f t="shared" si="33"/>
        <v>272</v>
      </c>
      <c r="AE113" s="68" t="str">
        <f t="shared" si="34"/>
        <v/>
      </c>
      <c r="AF113" s="68">
        <f t="shared" si="35"/>
        <v>361760</v>
      </c>
      <c r="AG113" s="68">
        <f t="shared" si="36"/>
        <v>0</v>
      </c>
      <c r="AH113" s="68">
        <f t="shared" si="37"/>
        <v>0</v>
      </c>
      <c r="AI113" s="68">
        <f t="shared" si="38"/>
        <v>0</v>
      </c>
      <c r="AJ113" s="103">
        <f t="shared" si="39"/>
        <v>361760</v>
      </c>
      <c r="AK113" s="105"/>
      <c r="AL113" s="68"/>
    </row>
    <row r="114" spans="2:38" ht="20.100000000000001" customHeight="1" x14ac:dyDescent="0.3">
      <c r="B114" s="106" t="s">
        <v>721</v>
      </c>
      <c r="C114" s="106" t="s">
        <v>271</v>
      </c>
      <c r="D114" s="106" t="s">
        <v>722</v>
      </c>
      <c r="E114" s="105"/>
      <c r="F114" s="102"/>
      <c r="G114" s="102"/>
      <c r="H114" s="102">
        <f>SUM(H115,H116)</f>
        <v>37432090.549999997</v>
      </c>
      <c r="I114" s="102">
        <f>SUM(I115,I116)</f>
        <v>0</v>
      </c>
      <c r="J114" s="102">
        <f>SUM(J115,J116)</f>
        <v>0</v>
      </c>
      <c r="K114" s="102">
        <f>SUM(K115,K116)</f>
        <v>0</v>
      </c>
      <c r="L114" s="103">
        <f t="shared" si="30"/>
        <v>37432090.549999997</v>
      </c>
      <c r="M114" s="105"/>
      <c r="N114" s="102"/>
      <c r="O114" s="102"/>
      <c r="P114" s="102">
        <f>SUM(P115,P116)</f>
        <v>0</v>
      </c>
      <c r="Q114" s="102">
        <f>SUM(Q115,Q116)</f>
        <v>0</v>
      </c>
      <c r="R114" s="102">
        <f>SUM(R115,R116)</f>
        <v>0</v>
      </c>
      <c r="S114" s="102">
        <f>SUM(S115,S116)</f>
        <v>500000</v>
      </c>
      <c r="T114" s="103">
        <f t="shared" si="31"/>
        <v>500000</v>
      </c>
      <c r="U114" s="105"/>
      <c r="V114" s="102"/>
      <c r="W114" s="102"/>
      <c r="X114" s="102">
        <f>SUM(X115,X116)</f>
        <v>0</v>
      </c>
      <c r="Y114" s="102">
        <f>SUM(Y115,Y116)</f>
        <v>0</v>
      </c>
      <c r="Z114" s="102">
        <f>SUM(Z115,Z116)</f>
        <v>0</v>
      </c>
      <c r="AA114" s="102">
        <f>SUM(AA115,AA116)</f>
        <v>0</v>
      </c>
      <c r="AB114" s="103">
        <f t="shared" si="32"/>
        <v>0</v>
      </c>
      <c r="AC114" s="105"/>
      <c r="AD114" s="102">
        <f t="shared" si="33"/>
        <v>0</v>
      </c>
      <c r="AE114" s="102" t="str">
        <f t="shared" si="34"/>
        <v/>
      </c>
      <c r="AF114" s="102">
        <f t="shared" si="35"/>
        <v>0</v>
      </c>
      <c r="AG114" s="102">
        <f t="shared" si="36"/>
        <v>0</v>
      </c>
      <c r="AH114" s="102">
        <f t="shared" si="37"/>
        <v>0</v>
      </c>
      <c r="AI114" s="102">
        <f t="shared" si="38"/>
        <v>500000</v>
      </c>
      <c r="AJ114" s="103">
        <f t="shared" si="39"/>
        <v>500000</v>
      </c>
      <c r="AK114" s="105"/>
      <c r="AL114" s="102"/>
    </row>
    <row r="115" spans="2:38" ht="20.100000000000001" customHeight="1" outlineLevel="1" x14ac:dyDescent="0.3">
      <c r="B115" s="113" t="s">
        <v>723</v>
      </c>
      <c r="C115" s="113" t="s">
        <v>272</v>
      </c>
      <c r="D115" s="113" t="s">
        <v>718</v>
      </c>
      <c r="E115" s="105"/>
      <c r="F115" s="68">
        <v>0</v>
      </c>
      <c r="G115" s="68"/>
      <c r="H115" s="68">
        <v>37183690.549999997</v>
      </c>
      <c r="I115" s="68"/>
      <c r="J115" s="68"/>
      <c r="K115" s="68"/>
      <c r="L115" s="103">
        <f t="shared" si="30"/>
        <v>37183690.549999997</v>
      </c>
      <c r="M115" s="105"/>
      <c r="N115" s="68">
        <v>1</v>
      </c>
      <c r="O115" s="68" t="s">
        <v>547</v>
      </c>
      <c r="P115" s="68">
        <v>0</v>
      </c>
      <c r="Q115" s="68">
        <v>0</v>
      </c>
      <c r="R115" s="68">
        <v>0</v>
      </c>
      <c r="S115" s="68">
        <v>500000</v>
      </c>
      <c r="T115" s="103">
        <f t="shared" si="31"/>
        <v>500000</v>
      </c>
      <c r="U115" s="105"/>
      <c r="V115" s="68"/>
      <c r="W115" s="68"/>
      <c r="X115" s="68"/>
      <c r="Y115" s="68"/>
      <c r="Z115" s="68"/>
      <c r="AA115" s="68"/>
      <c r="AB115" s="103">
        <f t="shared" si="32"/>
        <v>0</v>
      </c>
      <c r="AC115" s="105"/>
      <c r="AD115" s="68">
        <f t="shared" si="33"/>
        <v>1</v>
      </c>
      <c r="AE115" s="68" t="str">
        <f t="shared" si="34"/>
        <v/>
      </c>
      <c r="AF115" s="68">
        <f t="shared" si="35"/>
        <v>0</v>
      </c>
      <c r="AG115" s="68">
        <f t="shared" si="36"/>
        <v>0</v>
      </c>
      <c r="AH115" s="68">
        <f t="shared" si="37"/>
        <v>0</v>
      </c>
      <c r="AI115" s="68">
        <f t="shared" si="38"/>
        <v>500000</v>
      </c>
      <c r="AJ115" s="103">
        <f t="shared" si="39"/>
        <v>500000</v>
      </c>
      <c r="AK115" s="105"/>
      <c r="AL115" s="68"/>
    </row>
    <row r="116" spans="2:38" ht="20.100000000000001" customHeight="1" outlineLevel="1" x14ac:dyDescent="0.3">
      <c r="B116" s="113" t="s">
        <v>724</v>
      </c>
      <c r="C116" s="113" t="s">
        <v>725</v>
      </c>
      <c r="D116" s="113" t="s">
        <v>505</v>
      </c>
      <c r="E116" s="105"/>
      <c r="F116" s="68">
        <v>0</v>
      </c>
      <c r="G116" s="68"/>
      <c r="H116" s="68">
        <v>248400</v>
      </c>
      <c r="I116" s="68"/>
      <c r="J116" s="68"/>
      <c r="K116" s="68"/>
      <c r="L116" s="103">
        <f t="shared" si="30"/>
        <v>248400</v>
      </c>
      <c r="M116" s="105"/>
      <c r="N116" s="68"/>
      <c r="O116" s="68"/>
      <c r="P116" s="68"/>
      <c r="Q116" s="68"/>
      <c r="R116" s="68"/>
      <c r="S116" s="68"/>
      <c r="T116" s="103">
        <f t="shared" si="31"/>
        <v>0</v>
      </c>
      <c r="U116" s="105"/>
      <c r="V116" s="68"/>
      <c r="W116" s="68"/>
      <c r="X116" s="68"/>
      <c r="Y116" s="68"/>
      <c r="Z116" s="68"/>
      <c r="AA116" s="68"/>
      <c r="AB116" s="103">
        <f t="shared" si="32"/>
        <v>0</v>
      </c>
      <c r="AC116" s="105"/>
      <c r="AD116" s="68">
        <f t="shared" si="33"/>
        <v>0</v>
      </c>
      <c r="AE116" s="68" t="str">
        <f t="shared" si="34"/>
        <v/>
      </c>
      <c r="AF116" s="68">
        <f t="shared" si="35"/>
        <v>0</v>
      </c>
      <c r="AG116" s="68">
        <f t="shared" si="36"/>
        <v>0</v>
      </c>
      <c r="AH116" s="68">
        <f t="shared" si="37"/>
        <v>0</v>
      </c>
      <c r="AI116" s="68">
        <f t="shared" si="38"/>
        <v>0</v>
      </c>
      <c r="AJ116" s="103">
        <f t="shared" si="39"/>
        <v>0</v>
      </c>
      <c r="AK116" s="105"/>
      <c r="AL116" s="68"/>
    </row>
    <row r="117" spans="2:38" ht="20.100000000000001" customHeight="1" x14ac:dyDescent="0.3">
      <c r="B117" s="106" t="s">
        <v>726</v>
      </c>
      <c r="C117" s="106" t="s">
        <v>273</v>
      </c>
      <c r="D117" s="106" t="s">
        <v>727</v>
      </c>
      <c r="E117" s="105"/>
      <c r="F117" s="102"/>
      <c r="G117" s="102"/>
      <c r="H117" s="102">
        <f>SUM(H118,H119)</f>
        <v>21053595.199999999</v>
      </c>
      <c r="I117" s="102">
        <f>SUM(I118,I119)</f>
        <v>0</v>
      </c>
      <c r="J117" s="102">
        <f>SUM(J118,J119)</f>
        <v>0</v>
      </c>
      <c r="K117" s="102">
        <f>SUM(K118,K119)</f>
        <v>0</v>
      </c>
      <c r="L117" s="103">
        <f t="shared" si="30"/>
        <v>21053595.199999999</v>
      </c>
      <c r="M117" s="105"/>
      <c r="N117" s="102"/>
      <c r="O117" s="102"/>
      <c r="P117" s="102">
        <f>SUM(P118,P119)</f>
        <v>41570</v>
      </c>
      <c r="Q117" s="102">
        <f>SUM(Q118,Q119)</f>
        <v>0</v>
      </c>
      <c r="R117" s="102">
        <f>SUM(R118,R119)</f>
        <v>0</v>
      </c>
      <c r="S117" s="102">
        <f>SUM(S118,S119)</f>
        <v>200000</v>
      </c>
      <c r="T117" s="103">
        <f t="shared" si="31"/>
        <v>241570</v>
      </c>
      <c r="U117" s="105"/>
      <c r="V117" s="102"/>
      <c r="W117" s="102"/>
      <c r="X117" s="102">
        <f>SUM(X118,X119)</f>
        <v>0</v>
      </c>
      <c r="Y117" s="102">
        <f>SUM(Y118,Y119)</f>
        <v>0</v>
      </c>
      <c r="Z117" s="102">
        <f>SUM(Z118,Z119)</f>
        <v>0</v>
      </c>
      <c r="AA117" s="102">
        <f>SUM(AA118,AA119)</f>
        <v>0</v>
      </c>
      <c r="AB117" s="103">
        <f t="shared" si="32"/>
        <v>0</v>
      </c>
      <c r="AC117" s="105"/>
      <c r="AD117" s="102">
        <f t="shared" si="33"/>
        <v>0</v>
      </c>
      <c r="AE117" s="102" t="str">
        <f t="shared" si="34"/>
        <v/>
      </c>
      <c r="AF117" s="102">
        <f t="shared" si="35"/>
        <v>41570</v>
      </c>
      <c r="AG117" s="102">
        <f t="shared" si="36"/>
        <v>0</v>
      </c>
      <c r="AH117" s="102">
        <f t="shared" si="37"/>
        <v>0</v>
      </c>
      <c r="AI117" s="102">
        <f t="shared" si="38"/>
        <v>200000</v>
      </c>
      <c r="AJ117" s="103">
        <f t="shared" si="39"/>
        <v>241570</v>
      </c>
      <c r="AK117" s="105"/>
      <c r="AL117" s="102"/>
    </row>
    <row r="118" spans="2:38" ht="20.100000000000001" customHeight="1" outlineLevel="1" x14ac:dyDescent="0.3">
      <c r="B118" s="113" t="s">
        <v>728</v>
      </c>
      <c r="C118" s="113" t="s">
        <v>274</v>
      </c>
      <c r="D118" s="113" t="s">
        <v>718</v>
      </c>
      <c r="E118" s="105"/>
      <c r="F118" s="68">
        <v>0</v>
      </c>
      <c r="G118" s="68"/>
      <c r="H118" s="68">
        <v>1762079.3</v>
      </c>
      <c r="I118" s="68"/>
      <c r="J118" s="68"/>
      <c r="K118" s="68"/>
      <c r="L118" s="103">
        <f t="shared" si="30"/>
        <v>1762079.3</v>
      </c>
      <c r="M118" s="105"/>
      <c r="N118" s="68">
        <v>31</v>
      </c>
      <c r="O118" s="68" t="s">
        <v>548</v>
      </c>
      <c r="P118" s="68">
        <v>41570</v>
      </c>
      <c r="Q118" s="68">
        <v>0</v>
      </c>
      <c r="R118" s="68">
        <v>0</v>
      </c>
      <c r="S118" s="68">
        <v>200000</v>
      </c>
      <c r="T118" s="103">
        <f t="shared" si="31"/>
        <v>241570</v>
      </c>
      <c r="U118" s="105"/>
      <c r="V118" s="68"/>
      <c r="W118" s="68"/>
      <c r="X118" s="68"/>
      <c r="Y118" s="68"/>
      <c r="Z118" s="68"/>
      <c r="AA118" s="68"/>
      <c r="AB118" s="103">
        <f t="shared" si="32"/>
        <v>0</v>
      </c>
      <c r="AC118" s="105"/>
      <c r="AD118" s="68">
        <f t="shared" si="33"/>
        <v>31</v>
      </c>
      <c r="AE118" s="68" t="str">
        <f t="shared" si="34"/>
        <v/>
      </c>
      <c r="AF118" s="68">
        <f t="shared" si="35"/>
        <v>41570</v>
      </c>
      <c r="AG118" s="68">
        <f t="shared" si="36"/>
        <v>0</v>
      </c>
      <c r="AH118" s="68">
        <f t="shared" si="37"/>
        <v>0</v>
      </c>
      <c r="AI118" s="68">
        <f t="shared" si="38"/>
        <v>200000</v>
      </c>
      <c r="AJ118" s="103">
        <f t="shared" si="39"/>
        <v>241570</v>
      </c>
      <c r="AK118" s="105"/>
      <c r="AL118" s="68"/>
    </row>
    <row r="119" spans="2:38" ht="20.100000000000001" customHeight="1" outlineLevel="1" x14ac:dyDescent="0.3">
      <c r="B119" s="113" t="s">
        <v>729</v>
      </c>
      <c r="C119" s="113" t="s">
        <v>730</v>
      </c>
      <c r="D119" s="113" t="s">
        <v>505</v>
      </c>
      <c r="E119" s="105"/>
      <c r="F119" s="68">
        <v>0</v>
      </c>
      <c r="G119" s="68"/>
      <c r="H119" s="68">
        <v>19291515.899999999</v>
      </c>
      <c r="I119" s="68"/>
      <c r="J119" s="68"/>
      <c r="K119" s="68"/>
      <c r="L119" s="103">
        <f t="shared" si="30"/>
        <v>19291515.899999999</v>
      </c>
      <c r="M119" s="105"/>
      <c r="N119" s="68"/>
      <c r="O119" s="68"/>
      <c r="P119" s="68"/>
      <c r="Q119" s="68"/>
      <c r="R119" s="68"/>
      <c r="S119" s="68"/>
      <c r="T119" s="103">
        <f t="shared" si="31"/>
        <v>0</v>
      </c>
      <c r="U119" s="105"/>
      <c r="V119" s="68"/>
      <c r="W119" s="68"/>
      <c r="X119" s="68"/>
      <c r="Y119" s="68"/>
      <c r="Z119" s="68"/>
      <c r="AA119" s="68"/>
      <c r="AB119" s="103">
        <f t="shared" si="32"/>
        <v>0</v>
      </c>
      <c r="AC119" s="105"/>
      <c r="AD119" s="68">
        <f t="shared" si="33"/>
        <v>0</v>
      </c>
      <c r="AE119" s="68" t="str">
        <f t="shared" si="34"/>
        <v/>
      </c>
      <c r="AF119" s="68">
        <f t="shared" si="35"/>
        <v>0</v>
      </c>
      <c r="AG119" s="68">
        <f t="shared" si="36"/>
        <v>0</v>
      </c>
      <c r="AH119" s="68">
        <f t="shared" si="37"/>
        <v>0</v>
      </c>
      <c r="AI119" s="68">
        <f t="shared" si="38"/>
        <v>0</v>
      </c>
      <c r="AJ119" s="103">
        <f t="shared" si="39"/>
        <v>0</v>
      </c>
      <c r="AK119" s="105"/>
      <c r="AL119" s="68"/>
    </row>
    <row r="120" spans="2:38" ht="20.100000000000001" customHeight="1" x14ac:dyDescent="0.3">
      <c r="B120" s="106" t="s">
        <v>731</v>
      </c>
      <c r="C120" s="106" t="s">
        <v>275</v>
      </c>
      <c r="D120" s="106" t="s">
        <v>732</v>
      </c>
      <c r="E120" s="105"/>
      <c r="F120" s="102"/>
      <c r="G120" s="102"/>
      <c r="H120" s="102">
        <f>SUM(H121,H122)</f>
        <v>2023460.47</v>
      </c>
      <c r="I120" s="102">
        <f>SUM(I121,I122)</f>
        <v>19509433.510000002</v>
      </c>
      <c r="J120" s="102">
        <f>SUM(J121,J122)</f>
        <v>0</v>
      </c>
      <c r="K120" s="102">
        <f>SUM(K121,K122)</f>
        <v>0</v>
      </c>
      <c r="L120" s="103">
        <f t="shared" si="30"/>
        <v>21532893.98</v>
      </c>
      <c r="M120" s="105"/>
      <c r="N120" s="102"/>
      <c r="O120" s="102"/>
      <c r="P120" s="102">
        <f>SUM(P121,P122)</f>
        <v>0</v>
      </c>
      <c r="Q120" s="102">
        <f>SUM(Q121,Q122)</f>
        <v>0</v>
      </c>
      <c r="R120" s="102">
        <f>SUM(R121,R122)</f>
        <v>0</v>
      </c>
      <c r="S120" s="102">
        <f>SUM(S121,S122)</f>
        <v>0</v>
      </c>
      <c r="T120" s="103">
        <f t="shared" si="31"/>
        <v>0</v>
      </c>
      <c r="U120" s="105"/>
      <c r="V120" s="102"/>
      <c r="W120" s="102"/>
      <c r="X120" s="102">
        <f>SUM(X121,X122)</f>
        <v>0</v>
      </c>
      <c r="Y120" s="102">
        <f>SUM(Y121,Y122)</f>
        <v>0</v>
      </c>
      <c r="Z120" s="102">
        <f>SUM(Z121,Z122)</f>
        <v>0</v>
      </c>
      <c r="AA120" s="102">
        <f>SUM(AA121,AA122)</f>
        <v>0</v>
      </c>
      <c r="AB120" s="103">
        <f t="shared" si="32"/>
        <v>0</v>
      </c>
      <c r="AC120" s="105"/>
      <c r="AD120" s="102">
        <f t="shared" si="33"/>
        <v>0</v>
      </c>
      <c r="AE120" s="102" t="str">
        <f t="shared" si="34"/>
        <v/>
      </c>
      <c r="AF120" s="102">
        <f t="shared" si="35"/>
        <v>0</v>
      </c>
      <c r="AG120" s="102">
        <f t="shared" si="36"/>
        <v>0</v>
      </c>
      <c r="AH120" s="102">
        <f t="shared" si="37"/>
        <v>0</v>
      </c>
      <c r="AI120" s="102">
        <f t="shared" si="38"/>
        <v>0</v>
      </c>
      <c r="AJ120" s="103">
        <f t="shared" si="39"/>
        <v>0</v>
      </c>
      <c r="AK120" s="105"/>
      <c r="AL120" s="102"/>
    </row>
    <row r="121" spans="2:38" ht="20.100000000000001" customHeight="1" outlineLevel="1" x14ac:dyDescent="0.3">
      <c r="B121" s="113" t="s">
        <v>733</v>
      </c>
      <c r="C121" s="113" t="s">
        <v>734</v>
      </c>
      <c r="D121" s="113" t="s">
        <v>735</v>
      </c>
      <c r="E121" s="105"/>
      <c r="F121" s="68">
        <v>0</v>
      </c>
      <c r="G121" s="68"/>
      <c r="H121" s="68"/>
      <c r="I121" s="68">
        <v>19509433.510000002</v>
      </c>
      <c r="J121" s="68"/>
      <c r="K121" s="68"/>
      <c r="L121" s="103">
        <f t="shared" si="30"/>
        <v>19509433.510000002</v>
      </c>
      <c r="M121" s="105"/>
      <c r="N121" s="68"/>
      <c r="O121" s="68"/>
      <c r="P121" s="68"/>
      <c r="Q121" s="68"/>
      <c r="R121" s="68"/>
      <c r="S121" s="68"/>
      <c r="T121" s="103">
        <f t="shared" si="31"/>
        <v>0</v>
      </c>
      <c r="U121" s="105"/>
      <c r="V121" s="68"/>
      <c r="W121" s="68"/>
      <c r="X121" s="68"/>
      <c r="Y121" s="68"/>
      <c r="Z121" s="68"/>
      <c r="AA121" s="68"/>
      <c r="AB121" s="103">
        <f t="shared" si="32"/>
        <v>0</v>
      </c>
      <c r="AC121" s="105"/>
      <c r="AD121" s="68">
        <f t="shared" si="33"/>
        <v>0</v>
      </c>
      <c r="AE121" s="68" t="str">
        <f t="shared" si="34"/>
        <v/>
      </c>
      <c r="AF121" s="68">
        <f t="shared" si="35"/>
        <v>0</v>
      </c>
      <c r="AG121" s="68">
        <f t="shared" si="36"/>
        <v>0</v>
      </c>
      <c r="AH121" s="68">
        <f t="shared" si="37"/>
        <v>0</v>
      </c>
      <c r="AI121" s="68">
        <f t="shared" si="38"/>
        <v>0</v>
      </c>
      <c r="AJ121" s="103">
        <f t="shared" si="39"/>
        <v>0</v>
      </c>
      <c r="AK121" s="105"/>
      <c r="AL121" s="68"/>
    </row>
    <row r="122" spans="2:38" ht="20.100000000000001" customHeight="1" outlineLevel="1" x14ac:dyDescent="0.3">
      <c r="B122" s="113" t="s">
        <v>736</v>
      </c>
      <c r="C122" s="113" t="s">
        <v>737</v>
      </c>
      <c r="D122" s="113" t="s">
        <v>505</v>
      </c>
      <c r="E122" s="105"/>
      <c r="F122" s="68">
        <v>0</v>
      </c>
      <c r="G122" s="68"/>
      <c r="H122" s="68">
        <v>2023460.47</v>
      </c>
      <c r="I122" s="68"/>
      <c r="J122" s="68"/>
      <c r="K122" s="68"/>
      <c r="L122" s="103">
        <f t="shared" si="30"/>
        <v>2023460.47</v>
      </c>
      <c r="M122" s="105"/>
      <c r="N122" s="68"/>
      <c r="O122" s="68"/>
      <c r="P122" s="68"/>
      <c r="Q122" s="68"/>
      <c r="R122" s="68"/>
      <c r="S122" s="68"/>
      <c r="T122" s="103">
        <f t="shared" si="31"/>
        <v>0</v>
      </c>
      <c r="U122" s="105"/>
      <c r="V122" s="68"/>
      <c r="W122" s="68"/>
      <c r="X122" s="68"/>
      <c r="Y122" s="68"/>
      <c r="Z122" s="68"/>
      <c r="AA122" s="68"/>
      <c r="AB122" s="103">
        <f t="shared" si="32"/>
        <v>0</v>
      </c>
      <c r="AC122" s="105"/>
      <c r="AD122" s="68">
        <f t="shared" si="33"/>
        <v>0</v>
      </c>
      <c r="AE122" s="68" t="str">
        <f t="shared" si="34"/>
        <v/>
      </c>
      <c r="AF122" s="68">
        <f t="shared" si="35"/>
        <v>0</v>
      </c>
      <c r="AG122" s="68">
        <f t="shared" si="36"/>
        <v>0</v>
      </c>
      <c r="AH122" s="68">
        <f t="shared" si="37"/>
        <v>0</v>
      </c>
      <c r="AI122" s="68">
        <f t="shared" si="38"/>
        <v>0</v>
      </c>
      <c r="AJ122" s="103">
        <f t="shared" si="39"/>
        <v>0</v>
      </c>
      <c r="AK122" s="105"/>
      <c r="AL122" s="68"/>
    </row>
    <row r="123" spans="2:38" ht="20.100000000000001" customHeight="1" x14ac:dyDescent="0.3">
      <c r="B123" s="106" t="s">
        <v>738</v>
      </c>
      <c r="C123" s="106" t="s">
        <v>277</v>
      </c>
      <c r="D123" s="106" t="s">
        <v>739</v>
      </c>
      <c r="E123" s="105"/>
      <c r="F123" s="102"/>
      <c r="G123" s="102"/>
      <c r="H123" s="102">
        <f>SUM(H124,H125)</f>
        <v>130276270.34</v>
      </c>
      <c r="I123" s="102">
        <f>SUM(I124,I125)</f>
        <v>0</v>
      </c>
      <c r="J123" s="102">
        <f>SUM(J124,J125)</f>
        <v>0</v>
      </c>
      <c r="K123" s="102">
        <f>SUM(K124,K125)</f>
        <v>0</v>
      </c>
      <c r="L123" s="103">
        <f t="shared" si="30"/>
        <v>130276270.34</v>
      </c>
      <c r="M123" s="105"/>
      <c r="N123" s="102"/>
      <c r="O123" s="102"/>
      <c r="P123" s="102">
        <f>SUM(P124,P125)</f>
        <v>0</v>
      </c>
      <c r="Q123" s="102">
        <f>SUM(Q124,Q125)</f>
        <v>0</v>
      </c>
      <c r="R123" s="102">
        <f>SUM(R124,R125)</f>
        <v>0</v>
      </c>
      <c r="S123" s="102">
        <f>SUM(S124,S125)</f>
        <v>15500000</v>
      </c>
      <c r="T123" s="103">
        <f t="shared" si="31"/>
        <v>15500000</v>
      </c>
      <c r="U123" s="105"/>
      <c r="V123" s="102"/>
      <c r="W123" s="102"/>
      <c r="X123" s="102">
        <f>SUM(X124,X125)</f>
        <v>0</v>
      </c>
      <c r="Y123" s="102">
        <f>SUM(Y124,Y125)</f>
        <v>0</v>
      </c>
      <c r="Z123" s="102">
        <f>SUM(Z124,Z125)</f>
        <v>0</v>
      </c>
      <c r="AA123" s="102">
        <f>SUM(AA124,AA125)</f>
        <v>0</v>
      </c>
      <c r="AB123" s="103">
        <f t="shared" si="32"/>
        <v>0</v>
      </c>
      <c r="AC123" s="105"/>
      <c r="AD123" s="102">
        <f t="shared" si="33"/>
        <v>0</v>
      </c>
      <c r="AE123" s="102" t="str">
        <f t="shared" si="34"/>
        <v/>
      </c>
      <c r="AF123" s="102">
        <f t="shared" si="35"/>
        <v>0</v>
      </c>
      <c r="AG123" s="102">
        <f t="shared" si="36"/>
        <v>0</v>
      </c>
      <c r="AH123" s="102">
        <f t="shared" si="37"/>
        <v>0</v>
      </c>
      <c r="AI123" s="102">
        <f t="shared" si="38"/>
        <v>15500000</v>
      </c>
      <c r="AJ123" s="103">
        <f t="shared" si="39"/>
        <v>15500000</v>
      </c>
      <c r="AK123" s="105"/>
      <c r="AL123" s="102"/>
    </row>
    <row r="124" spans="2:38" ht="20.100000000000001" customHeight="1" outlineLevel="1" x14ac:dyDescent="0.3">
      <c r="B124" s="113" t="s">
        <v>740</v>
      </c>
      <c r="C124" s="113" t="s">
        <v>278</v>
      </c>
      <c r="D124" s="113" t="s">
        <v>718</v>
      </c>
      <c r="E124" s="105"/>
      <c r="F124" s="68">
        <v>0</v>
      </c>
      <c r="G124" s="68"/>
      <c r="H124" s="68">
        <v>120676269.34</v>
      </c>
      <c r="I124" s="68"/>
      <c r="J124" s="68"/>
      <c r="K124" s="68"/>
      <c r="L124" s="103">
        <f t="shared" si="30"/>
        <v>120676269.34</v>
      </c>
      <c r="M124" s="105"/>
      <c r="N124" s="68">
        <v>1</v>
      </c>
      <c r="O124" s="68" t="s">
        <v>547</v>
      </c>
      <c r="P124" s="68">
        <v>0</v>
      </c>
      <c r="Q124" s="68">
        <v>0</v>
      </c>
      <c r="R124" s="68">
        <v>0</v>
      </c>
      <c r="S124" s="68">
        <v>15250000</v>
      </c>
      <c r="T124" s="103">
        <f t="shared" si="31"/>
        <v>15250000</v>
      </c>
      <c r="U124" s="105"/>
      <c r="V124" s="68"/>
      <c r="W124" s="68"/>
      <c r="X124" s="68"/>
      <c r="Y124" s="68"/>
      <c r="Z124" s="68"/>
      <c r="AA124" s="68"/>
      <c r="AB124" s="103">
        <f t="shared" si="32"/>
        <v>0</v>
      </c>
      <c r="AC124" s="105"/>
      <c r="AD124" s="68">
        <f t="shared" si="33"/>
        <v>1</v>
      </c>
      <c r="AE124" s="68" t="str">
        <f t="shared" si="34"/>
        <v/>
      </c>
      <c r="AF124" s="68">
        <f t="shared" si="35"/>
        <v>0</v>
      </c>
      <c r="AG124" s="68">
        <f t="shared" si="36"/>
        <v>0</v>
      </c>
      <c r="AH124" s="68">
        <f t="shared" si="37"/>
        <v>0</v>
      </c>
      <c r="AI124" s="68">
        <f t="shared" si="38"/>
        <v>15250000</v>
      </c>
      <c r="AJ124" s="103">
        <f t="shared" si="39"/>
        <v>15250000</v>
      </c>
      <c r="AK124" s="105"/>
      <c r="AL124" s="68"/>
    </row>
    <row r="125" spans="2:38" ht="20.100000000000001" customHeight="1" outlineLevel="1" x14ac:dyDescent="0.3">
      <c r="B125" s="113" t="s">
        <v>741</v>
      </c>
      <c r="C125" s="113" t="s">
        <v>742</v>
      </c>
      <c r="D125" s="113" t="s">
        <v>505</v>
      </c>
      <c r="E125" s="105"/>
      <c r="F125" s="68">
        <v>0</v>
      </c>
      <c r="G125" s="68"/>
      <c r="H125" s="68">
        <v>9600001</v>
      </c>
      <c r="I125" s="68"/>
      <c r="J125" s="68"/>
      <c r="K125" s="68"/>
      <c r="L125" s="103">
        <f t="shared" si="30"/>
        <v>9600001</v>
      </c>
      <c r="M125" s="105"/>
      <c r="N125" s="68">
        <v>1</v>
      </c>
      <c r="O125" s="68" t="s">
        <v>547</v>
      </c>
      <c r="P125" s="68">
        <v>0</v>
      </c>
      <c r="Q125" s="68">
        <v>0</v>
      </c>
      <c r="R125" s="68">
        <v>0</v>
      </c>
      <c r="S125" s="68">
        <v>250000</v>
      </c>
      <c r="T125" s="103">
        <f t="shared" si="31"/>
        <v>250000</v>
      </c>
      <c r="U125" s="105"/>
      <c r="V125" s="68"/>
      <c r="W125" s="68"/>
      <c r="X125" s="68"/>
      <c r="Y125" s="68"/>
      <c r="Z125" s="68"/>
      <c r="AA125" s="68"/>
      <c r="AB125" s="103">
        <f t="shared" si="32"/>
        <v>0</v>
      </c>
      <c r="AC125" s="105"/>
      <c r="AD125" s="68">
        <f t="shared" si="33"/>
        <v>1</v>
      </c>
      <c r="AE125" s="68" t="str">
        <f t="shared" si="34"/>
        <v/>
      </c>
      <c r="AF125" s="68">
        <f t="shared" si="35"/>
        <v>0</v>
      </c>
      <c r="AG125" s="68">
        <f t="shared" si="36"/>
        <v>0</v>
      </c>
      <c r="AH125" s="68">
        <f t="shared" si="37"/>
        <v>0</v>
      </c>
      <c r="AI125" s="68">
        <f t="shared" si="38"/>
        <v>250000</v>
      </c>
      <c r="AJ125" s="103">
        <f t="shared" si="39"/>
        <v>250000</v>
      </c>
      <c r="AK125" s="105"/>
      <c r="AL125" s="68"/>
    </row>
    <row r="126" spans="2:38" ht="20.100000000000001" customHeight="1" x14ac:dyDescent="0.3">
      <c r="B126" s="104" t="s">
        <v>509</v>
      </c>
      <c r="C126" s="104" t="s">
        <v>279</v>
      </c>
      <c r="D126" s="104"/>
      <c r="E126" s="105"/>
      <c r="F126" s="104"/>
      <c r="G126" s="104"/>
      <c r="H126" s="104">
        <f>SUM(H13,H81,H84,H111,H114,H117,H120,H123)</f>
        <v>427842613.98000002</v>
      </c>
      <c r="I126" s="104">
        <f>SUM(I13,I81,I84,I111,I114,I117,I120,I123)</f>
        <v>94227160.810000002</v>
      </c>
      <c r="J126" s="104">
        <f>SUM(J13,J81,J84,J111,J114,J117,J120,J123)</f>
        <v>9528000</v>
      </c>
      <c r="K126" s="104">
        <f>SUM(K13,K81,K84,K111,K114,K117,K120,K123)</f>
        <v>0</v>
      </c>
      <c r="L126" s="104">
        <f t="shared" si="30"/>
        <v>531597774.79000002</v>
      </c>
      <c r="M126" s="105"/>
      <c r="N126" s="104"/>
      <c r="O126" s="104"/>
      <c r="P126" s="104">
        <f>SUM(P13,P81,P84,P111,P114,P117,P120,P123)</f>
        <v>21754356.16</v>
      </c>
      <c r="Q126" s="104">
        <f>SUM(Q13,Q81,Q84,Q111,Q114,Q117,Q120,Q123)</f>
        <v>6218802.5499999998</v>
      </c>
      <c r="R126" s="104">
        <f>SUM(R13,R81,R84,R111,R114,R117,R120,R123)</f>
        <v>139020</v>
      </c>
      <c r="S126" s="104">
        <f>SUM(S13,S81,S84,S111,S114,S117,S120,S123)</f>
        <v>102364788.81</v>
      </c>
      <c r="T126" s="104">
        <f t="shared" si="31"/>
        <v>130476967.52000001</v>
      </c>
      <c r="U126" s="105"/>
      <c r="V126" s="104"/>
      <c r="W126" s="104"/>
      <c r="X126" s="104">
        <f>SUM(X13,X81,X84,X111,X114,X117,X120,X123)</f>
        <v>0</v>
      </c>
      <c r="Y126" s="104">
        <f>SUM(Y13,Y81,Y84,Y111,Y114,Y117,Y120,Y123)</f>
        <v>0</v>
      </c>
      <c r="Z126" s="104">
        <f>SUM(Z13,Z81,Z84,Z111,Z114,Z117,Z120,Z123)</f>
        <v>0</v>
      </c>
      <c r="AA126" s="104">
        <f>SUM(AA13,AA81,AA84,AA111,AA114,AA117,AA120,AA123)</f>
        <v>0</v>
      </c>
      <c r="AB126" s="104">
        <f t="shared" si="32"/>
        <v>0</v>
      </c>
      <c r="AC126" s="105"/>
      <c r="AD126" s="104">
        <f t="shared" si="33"/>
        <v>0</v>
      </c>
      <c r="AE126" s="104" t="str">
        <f t="shared" si="34"/>
        <v/>
      </c>
      <c r="AF126" s="104">
        <f t="shared" si="35"/>
        <v>21754356.16</v>
      </c>
      <c r="AG126" s="104">
        <f t="shared" si="36"/>
        <v>6218802.5499999998</v>
      </c>
      <c r="AH126" s="104">
        <f t="shared" si="37"/>
        <v>139020</v>
      </c>
      <c r="AI126" s="104">
        <f t="shared" si="38"/>
        <v>102364788.81</v>
      </c>
      <c r="AJ126" s="104">
        <f t="shared" si="39"/>
        <v>130476967.52000001</v>
      </c>
      <c r="AK126" s="105"/>
      <c r="AL126" s="104"/>
    </row>
  </sheetData>
  <mergeCells count="15">
    <mergeCell ref="AD11:AD12"/>
    <mergeCell ref="AE11:AE12"/>
    <mergeCell ref="AJ11:AJ12"/>
    <mergeCell ref="AL11:AL12"/>
    <mergeCell ref="O11:O12"/>
    <mergeCell ref="T11:T12"/>
    <mergeCell ref="V11:V12"/>
    <mergeCell ref="W11:W12"/>
    <mergeCell ref="AB11:AB12"/>
    <mergeCell ref="N11:N12"/>
    <mergeCell ref="C11:C12"/>
    <mergeCell ref="D11:D12"/>
    <mergeCell ref="F11:F12"/>
    <mergeCell ref="G11:G12"/>
    <mergeCell ref="L11:L12"/>
  </mergeCells>
  <pageMargins left="0.7" right="0.7" top="0.75" bottom="0.75" header="0.3" footer="0.3"/>
  <pageSetup orientation="portrait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3</xdr:col>
                    <xdr:colOff>1200150</xdr:colOff>
                    <xdr:row>8</xdr:row>
                    <xdr:rowOff>161925</xdr:rowOff>
                  </from>
                  <to>
                    <xdr:col>3</xdr:col>
                    <xdr:colOff>1466850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3</xdr:col>
                    <xdr:colOff>1200150</xdr:colOff>
                    <xdr:row>7</xdr:row>
                    <xdr:rowOff>9525</xdr:rowOff>
                  </from>
                  <to>
                    <xdr:col>3</xdr:col>
                    <xdr:colOff>1457325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2D02-1586-4B34-8ED1-661F6B6B77D1}">
  <sheetPr codeName="shControl"/>
  <dimension ref="A1:BD246"/>
  <sheetViews>
    <sheetView showGridLines="0" zoomScale="70" zoomScaleNormal="70" workbookViewId="0">
      <selection activeCell="C35" sqref="C35"/>
    </sheetView>
  </sheetViews>
  <sheetFormatPr defaultRowHeight="18.75" x14ac:dyDescent="0.3"/>
  <cols>
    <col min="1" max="1" width="5.42578125" style="1" customWidth="1"/>
    <col min="2" max="2" width="37.42578125" style="1" customWidth="1"/>
    <col min="3" max="3" width="41.42578125" style="1" customWidth="1"/>
    <col min="4" max="4" width="42.42578125" style="1" customWidth="1"/>
    <col min="6" max="6" width="54.42578125" hidden="1" customWidth="1"/>
    <col min="7" max="7" width="26.5703125" customWidth="1"/>
    <col min="8" max="8" width="49.5703125" customWidth="1"/>
    <col min="9" max="9" width="0.42578125" customWidth="1"/>
    <col min="10" max="10" width="18.5703125" customWidth="1"/>
    <col min="11" max="11" width="10.5703125" customWidth="1"/>
    <col min="12" max="16" width="26.5703125" customWidth="1"/>
    <col min="17" max="17" width="1.42578125" customWidth="1"/>
    <col min="18" max="18" width="18.5703125" customWidth="1"/>
    <col min="19" max="19" width="10.5703125" customWidth="1"/>
    <col min="20" max="24" width="26.5703125" customWidth="1"/>
    <col min="25" max="25" width="0.5703125" customWidth="1"/>
    <col min="26" max="26" width="18.5703125" customWidth="1"/>
    <col min="27" max="27" width="10.5703125" customWidth="1"/>
    <col min="28" max="32" width="26.5703125" customWidth="1"/>
    <col min="33" max="33" width="0.5703125" customWidth="1"/>
    <col min="34" max="34" width="18.5703125" customWidth="1"/>
    <col min="35" max="35" width="10.5703125" customWidth="1"/>
    <col min="36" max="40" width="26.5703125" customWidth="1"/>
    <col min="41" max="41" width="0.5703125" customWidth="1"/>
    <col min="42" max="42" width="72.140625" customWidth="1"/>
    <col min="44" max="44" width="0" hidden="1" customWidth="1"/>
    <col min="45" max="45" width="26.5703125" customWidth="1"/>
    <col min="46" max="46" width="49.5703125" customWidth="1"/>
    <col min="47" max="47" width="0.42578125" customWidth="1"/>
    <col min="48" max="48" width="18.5703125" customWidth="1"/>
    <col min="49" max="49" width="10.5703125" customWidth="1"/>
    <col min="50" max="54" width="26.5703125" customWidth="1"/>
    <col min="55" max="55" width="1.42578125" customWidth="1"/>
    <col min="56" max="56" width="72.140625" customWidth="1"/>
  </cols>
  <sheetData>
    <row r="1" spans="2:56" x14ac:dyDescent="0.3">
      <c r="I1" s="1"/>
      <c r="J1" s="1"/>
      <c r="K1" s="1"/>
      <c r="L1" s="1"/>
      <c r="M1" s="1"/>
      <c r="N1" s="1"/>
      <c r="O1" s="1"/>
      <c r="P1" s="14">
        <f>SUM(L1:O1)</f>
        <v>0</v>
      </c>
      <c r="X1" s="14">
        <f>SUM(T1:W1)</f>
        <v>0</v>
      </c>
      <c r="AF1" s="14">
        <f>SUM(AB1:AE1)</f>
        <v>0</v>
      </c>
      <c r="AH1">
        <f>Z1+R1</f>
        <v>0</v>
      </c>
      <c r="AI1" t="str">
        <f>IF(AA1&lt;&gt;"",AA1,"")</f>
        <v/>
      </c>
      <c r="AJ1">
        <f>AB1+T1</f>
        <v>0</v>
      </c>
      <c r="AK1">
        <f>AC1+U1</f>
        <v>0</v>
      </c>
      <c r="AL1">
        <f>AD1+V1</f>
        <v>0</v>
      </c>
      <c r="AM1">
        <f>AE1+W1</f>
        <v>0</v>
      </c>
      <c r="AN1" s="14">
        <f>SUM(AJ1:AM1)</f>
        <v>0</v>
      </c>
      <c r="AU1" s="1"/>
      <c r="AV1" s="1"/>
      <c r="AW1" s="1"/>
      <c r="AX1" s="1"/>
      <c r="AY1" s="1"/>
      <c r="AZ1" s="1"/>
      <c r="BA1" s="1"/>
      <c r="BB1" s="14">
        <f>SUM(AX1:BA1)</f>
        <v>0</v>
      </c>
    </row>
    <row r="2" spans="2:56" x14ac:dyDescent="0.3">
      <c r="I2" s="1"/>
      <c r="J2" s="1"/>
      <c r="K2" s="1"/>
      <c r="L2" s="1"/>
      <c r="M2" s="1"/>
      <c r="N2" s="1"/>
      <c r="O2" s="1"/>
      <c r="P2" s="1"/>
      <c r="AU2" s="1"/>
      <c r="AV2" s="1"/>
      <c r="AW2" s="1"/>
      <c r="AX2" s="1"/>
      <c r="AY2" s="1"/>
      <c r="AZ2" s="1"/>
      <c r="BA2" s="1"/>
      <c r="BB2" s="1"/>
    </row>
    <row r="3" spans="2:56" x14ac:dyDescent="0.3">
      <c r="I3" s="1" t="s">
        <v>46</v>
      </c>
      <c r="J3" s="1" t="s">
        <v>37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46</v>
      </c>
      <c r="R3" s="1" t="s">
        <v>53</v>
      </c>
      <c r="S3" s="1" t="s">
        <v>54</v>
      </c>
      <c r="T3" s="1" t="s">
        <v>55</v>
      </c>
      <c r="U3" s="1" t="s">
        <v>56</v>
      </c>
      <c r="V3" s="1" t="s">
        <v>57</v>
      </c>
      <c r="W3" s="1" t="s">
        <v>58</v>
      </c>
      <c r="X3" s="1" t="s">
        <v>59</v>
      </c>
      <c r="Y3" s="1" t="s">
        <v>46</v>
      </c>
      <c r="Z3" s="1" t="s">
        <v>77</v>
      </c>
      <c r="AA3" s="1" t="s">
        <v>78</v>
      </c>
      <c r="AB3" s="1" t="s">
        <v>79</v>
      </c>
      <c r="AC3" s="1" t="s">
        <v>80</v>
      </c>
      <c r="AD3" s="1" t="s">
        <v>81</v>
      </c>
      <c r="AE3" s="1" t="s">
        <v>82</v>
      </c>
      <c r="AF3" s="1" t="s">
        <v>83</v>
      </c>
      <c r="AG3" s="1" t="s">
        <v>46</v>
      </c>
      <c r="AH3" s="1" t="s">
        <v>87</v>
      </c>
      <c r="AI3" s="1" t="s">
        <v>88</v>
      </c>
      <c r="AJ3" s="1" t="s">
        <v>89</v>
      </c>
      <c r="AK3" s="1" t="s">
        <v>90</v>
      </c>
      <c r="AL3" s="1" t="s">
        <v>91</v>
      </c>
      <c r="AM3" s="1" t="s">
        <v>92</v>
      </c>
      <c r="AN3" s="1" t="s">
        <v>93</v>
      </c>
      <c r="AO3" s="1" t="s">
        <v>46</v>
      </c>
      <c r="AP3" s="1" t="s">
        <v>84</v>
      </c>
      <c r="AU3" s="1" t="s">
        <v>46</v>
      </c>
      <c r="AV3" s="1" t="s">
        <v>37</v>
      </c>
      <c r="AW3" s="1" t="s">
        <v>30</v>
      </c>
      <c r="AX3" s="1" t="s">
        <v>31</v>
      </c>
      <c r="AY3" s="1" t="s">
        <v>32</v>
      </c>
      <c r="AZ3" s="1" t="s">
        <v>33</v>
      </c>
      <c r="BA3" s="1" t="s">
        <v>34</v>
      </c>
      <c r="BB3" s="1" t="s">
        <v>35</v>
      </c>
      <c r="BC3" s="1" t="s">
        <v>46</v>
      </c>
      <c r="BD3" s="1" t="s">
        <v>84</v>
      </c>
    </row>
    <row r="5" spans="2:56" ht="19.5" thickBot="1" x14ac:dyDescent="0.35"/>
    <row r="6" spans="2:56" ht="21.6" customHeight="1" x14ac:dyDescent="0.3">
      <c r="G6" s="1"/>
      <c r="H6" s="33"/>
      <c r="I6" s="10"/>
      <c r="J6" s="34" t="s">
        <v>29</v>
      </c>
      <c r="K6" s="35"/>
      <c r="L6" s="35"/>
      <c r="M6" s="35"/>
      <c r="N6" s="35"/>
      <c r="O6" s="35"/>
      <c r="P6" s="36"/>
      <c r="Q6" s="12"/>
      <c r="R6" s="37" t="s">
        <v>60</v>
      </c>
      <c r="S6" s="38"/>
      <c r="T6" s="38"/>
      <c r="U6" s="38"/>
      <c r="V6" s="38"/>
      <c r="W6" s="38"/>
      <c r="X6" s="39"/>
      <c r="Y6" s="12"/>
      <c r="Z6" s="40" t="s">
        <v>70</v>
      </c>
      <c r="AA6" s="41"/>
      <c r="AB6" s="41"/>
      <c r="AC6" s="41"/>
      <c r="AD6" s="41"/>
      <c r="AE6" s="41"/>
      <c r="AF6" s="42"/>
      <c r="AG6" s="12"/>
      <c r="AH6" s="43" t="s">
        <v>85</v>
      </c>
      <c r="AI6" s="44"/>
      <c r="AJ6" s="44"/>
      <c r="AK6" s="44"/>
      <c r="AL6" s="44"/>
      <c r="AM6" s="44"/>
      <c r="AN6" s="45"/>
      <c r="AO6" s="12"/>
      <c r="AS6" s="1"/>
      <c r="AT6" s="33"/>
      <c r="AU6" s="10"/>
      <c r="AV6" s="34" t="s">
        <v>29</v>
      </c>
      <c r="AW6" s="35"/>
      <c r="AX6" s="35"/>
      <c r="AY6" s="35"/>
      <c r="AZ6" s="35"/>
      <c r="BA6" s="35"/>
      <c r="BB6" s="36"/>
      <c r="BC6" s="12"/>
    </row>
    <row r="7" spans="2:56" ht="21" customHeight="1" x14ac:dyDescent="0.3">
      <c r="G7" s="71" t="s">
        <v>14</v>
      </c>
      <c r="H7" s="73" t="s">
        <v>15</v>
      </c>
      <c r="I7" s="11"/>
      <c r="J7" s="75" t="s">
        <v>16</v>
      </c>
      <c r="K7" s="77" t="s">
        <v>17</v>
      </c>
      <c r="L7" s="46" t="s">
        <v>23</v>
      </c>
      <c r="M7" s="47"/>
      <c r="N7" s="47"/>
      <c r="O7" s="48"/>
      <c r="P7" s="79" t="s">
        <v>22</v>
      </c>
      <c r="Q7" s="9"/>
      <c r="R7" s="69" t="s">
        <v>62</v>
      </c>
      <c r="S7" s="88" t="s">
        <v>17</v>
      </c>
      <c r="T7" s="49" t="s">
        <v>61</v>
      </c>
      <c r="U7" s="50"/>
      <c r="V7" s="50"/>
      <c r="W7" s="51"/>
      <c r="X7" s="90" t="s">
        <v>63</v>
      </c>
      <c r="Y7" s="9"/>
      <c r="Z7" s="92" t="s">
        <v>71</v>
      </c>
      <c r="AA7" s="94" t="s">
        <v>17</v>
      </c>
      <c r="AB7" s="52" t="s">
        <v>128</v>
      </c>
      <c r="AC7" s="53"/>
      <c r="AD7" s="53"/>
      <c r="AE7" s="54"/>
      <c r="AF7" s="96" t="s">
        <v>72</v>
      </c>
      <c r="AG7" s="9"/>
      <c r="AH7" s="81" t="s">
        <v>94</v>
      </c>
      <c r="AI7" s="83" t="s">
        <v>17</v>
      </c>
      <c r="AJ7" s="55" t="s">
        <v>128</v>
      </c>
      <c r="AK7" s="56"/>
      <c r="AL7" s="56"/>
      <c r="AM7" s="57"/>
      <c r="AN7" s="85" t="s">
        <v>86</v>
      </c>
      <c r="AO7" s="9"/>
      <c r="AP7" s="87" t="s">
        <v>73</v>
      </c>
      <c r="AS7" s="98" t="s">
        <v>14</v>
      </c>
      <c r="AT7" s="100" t="s">
        <v>15</v>
      </c>
      <c r="AU7" s="11"/>
      <c r="AV7" s="75" t="s">
        <v>16</v>
      </c>
      <c r="AW7" s="77" t="s">
        <v>17</v>
      </c>
      <c r="AX7" s="46" t="s">
        <v>23</v>
      </c>
      <c r="AY7" s="47"/>
      <c r="AZ7" s="47"/>
      <c r="BA7" s="48"/>
      <c r="BB7" s="79" t="s">
        <v>22</v>
      </c>
      <c r="BC7" s="9"/>
      <c r="BD7" s="87" t="s">
        <v>73</v>
      </c>
    </row>
    <row r="8" spans="2:56" ht="21.75" thickBot="1" x14ac:dyDescent="0.35">
      <c r="G8" s="72"/>
      <c r="H8" s="74"/>
      <c r="I8" s="11"/>
      <c r="J8" s="76"/>
      <c r="K8" s="78"/>
      <c r="L8" s="58" t="s">
        <v>18</v>
      </c>
      <c r="M8" s="58" t="s">
        <v>19</v>
      </c>
      <c r="N8" s="58" t="s">
        <v>20</v>
      </c>
      <c r="O8" s="58" t="s">
        <v>21</v>
      </c>
      <c r="P8" s="80"/>
      <c r="Q8" s="28"/>
      <c r="R8" s="70"/>
      <c r="S8" s="89"/>
      <c r="T8" s="59" t="s">
        <v>18</v>
      </c>
      <c r="U8" s="59" t="s">
        <v>19</v>
      </c>
      <c r="V8" s="59" t="s">
        <v>20</v>
      </c>
      <c r="W8" s="59" t="s">
        <v>21</v>
      </c>
      <c r="X8" s="91"/>
      <c r="Y8" s="28"/>
      <c r="Z8" s="93"/>
      <c r="AA8" s="95"/>
      <c r="AB8" s="60" t="s">
        <v>18</v>
      </c>
      <c r="AC8" s="60" t="s">
        <v>19</v>
      </c>
      <c r="AD8" s="60" t="s">
        <v>20</v>
      </c>
      <c r="AE8" s="60" t="s">
        <v>21</v>
      </c>
      <c r="AF8" s="97"/>
      <c r="AG8" s="28"/>
      <c r="AH8" s="82"/>
      <c r="AI8" s="84"/>
      <c r="AJ8" s="61" t="s">
        <v>18</v>
      </c>
      <c r="AK8" s="61" t="s">
        <v>19</v>
      </c>
      <c r="AL8" s="61" t="s">
        <v>20</v>
      </c>
      <c r="AM8" s="61" t="s">
        <v>21</v>
      </c>
      <c r="AN8" s="86"/>
      <c r="AO8" s="9"/>
      <c r="AP8" s="87"/>
      <c r="AS8" s="99"/>
      <c r="AT8" s="101"/>
      <c r="AU8" s="11"/>
      <c r="AV8" s="76"/>
      <c r="AW8" s="78"/>
      <c r="AX8" s="58" t="s">
        <v>18</v>
      </c>
      <c r="AY8" s="58" t="s">
        <v>19</v>
      </c>
      <c r="AZ8" s="58" t="s">
        <v>20</v>
      </c>
      <c r="BA8" s="58" t="s">
        <v>21</v>
      </c>
      <c r="BB8" s="80"/>
      <c r="BC8" s="28"/>
      <c r="BD8" s="87"/>
    </row>
    <row r="11" spans="2:56" x14ac:dyDescent="0.3">
      <c r="B11" s="8" t="s">
        <v>11</v>
      </c>
      <c r="C11" s="7"/>
      <c r="D11" s="7"/>
    </row>
    <row r="12" spans="2:56" x14ac:dyDescent="0.3">
      <c r="B12" s="4" t="s">
        <v>110</v>
      </c>
      <c r="C12" s="4"/>
      <c r="D12" s="4"/>
    </row>
    <row r="13" spans="2:56" x14ac:dyDescent="0.3">
      <c r="B13" s="5" t="s">
        <v>0</v>
      </c>
      <c r="C13" s="5" t="s">
        <v>1</v>
      </c>
      <c r="D13" s="5" t="s">
        <v>2</v>
      </c>
    </row>
    <row r="14" spans="2:56" x14ac:dyDescent="0.3">
      <c r="B14" s="6" t="s">
        <v>3</v>
      </c>
      <c r="C14" s="63" t="s">
        <v>130</v>
      </c>
      <c r="D14" s="6" t="s">
        <v>4</v>
      </c>
    </row>
    <row r="15" spans="2:56" x14ac:dyDescent="0.3">
      <c r="B15" s="6" t="s">
        <v>5</v>
      </c>
      <c r="C15" s="64" t="s">
        <v>129</v>
      </c>
      <c r="D15" s="6" t="s">
        <v>6</v>
      </c>
    </row>
    <row r="16" spans="2:56" x14ac:dyDescent="0.3">
      <c r="B16" s="6" t="s">
        <v>7</v>
      </c>
      <c r="C16" s="6" t="s">
        <v>566</v>
      </c>
      <c r="D16" s="6" t="s">
        <v>9</v>
      </c>
    </row>
    <row r="17" spans="2:4" x14ac:dyDescent="0.3">
      <c r="B17" s="6" t="s">
        <v>8</v>
      </c>
      <c r="C17" s="6" t="s">
        <v>68</v>
      </c>
      <c r="D17" s="6" t="s">
        <v>10</v>
      </c>
    </row>
    <row r="18" spans="2:4" x14ac:dyDescent="0.3">
      <c r="B18" s="6" t="s">
        <v>12</v>
      </c>
      <c r="C18" s="6" t="s">
        <v>567</v>
      </c>
      <c r="D18" s="6" t="s">
        <v>25</v>
      </c>
    </row>
    <row r="19" spans="2:4" x14ac:dyDescent="0.3">
      <c r="B19" s="6" t="s">
        <v>13</v>
      </c>
      <c r="C19" s="6" t="s">
        <v>69</v>
      </c>
      <c r="D19" s="6" t="s">
        <v>26</v>
      </c>
    </row>
    <row r="20" spans="2:4" x14ac:dyDescent="0.3">
      <c r="B20" s="6" t="s">
        <v>24</v>
      </c>
      <c r="C20" s="64" t="str" cm="1">
        <f t="array" ref="C20">GetRangeAddress(Controls!B13:D13)</f>
        <v>B13:D13</v>
      </c>
      <c r="D20" s="6" t="s">
        <v>111</v>
      </c>
    </row>
    <row r="21" spans="2:4" x14ac:dyDescent="0.3">
      <c r="B21" s="6" t="s">
        <v>28</v>
      </c>
      <c r="C21" s="64" t="s">
        <v>27</v>
      </c>
      <c r="D21" s="6" t="s">
        <v>112</v>
      </c>
    </row>
    <row r="22" spans="2:4" x14ac:dyDescent="0.3">
      <c r="B22" s="6" t="s">
        <v>76</v>
      </c>
      <c r="C22" s="64" t="s">
        <v>74</v>
      </c>
      <c r="D22" s="6" t="s">
        <v>75</v>
      </c>
    </row>
    <row r="23" spans="2:4" x14ac:dyDescent="0.3">
      <c r="B23" s="6" t="s">
        <v>49</v>
      </c>
      <c r="C23" s="64" t="str" cm="1">
        <f t="array" ref="C23">IF(ColumnAOnly=TRUE,GetRangeAddress(AU3:BD3),GetRangeAddress(I3:AP3))</f>
        <v>I3:AP3</v>
      </c>
      <c r="D23" s="6" t="s">
        <v>113</v>
      </c>
    </row>
    <row r="24" spans="2:4" x14ac:dyDescent="0.3">
      <c r="B24" s="6" t="s">
        <v>36</v>
      </c>
      <c r="C24" s="13" t="b">
        <v>0</v>
      </c>
      <c r="D24" s="6"/>
    </row>
    <row r="25" spans="2:4" x14ac:dyDescent="0.3">
      <c r="B25" s="6" t="s">
        <v>48</v>
      </c>
      <c r="C25" s="65" t="str" cm="1">
        <f t="array" ref="C25">IF(ColumnAOnly=TRUE,GetRangeAddress(AR5:BD8),GetRangeAddress(F5:AP8))</f>
        <v>F5:AP8</v>
      </c>
      <c r="D25" s="6" t="s">
        <v>114</v>
      </c>
    </row>
    <row r="26" spans="2:4" x14ac:dyDescent="0.3">
      <c r="B26" s="6" t="s">
        <v>50</v>
      </c>
      <c r="C26" s="65" t="str" cm="1">
        <f t="array" ref="C26">GetRangeAddress(1:1)</f>
        <v>1:1</v>
      </c>
      <c r="D26" s="6" t="s">
        <v>115</v>
      </c>
    </row>
    <row r="27" spans="2:4" x14ac:dyDescent="0.3">
      <c r="B27" s="6" t="s">
        <v>65</v>
      </c>
      <c r="C27" s="65" t="b">
        <v>1</v>
      </c>
      <c r="D27" s="6" t="s">
        <v>64</v>
      </c>
    </row>
    <row r="28" spans="2:4" x14ac:dyDescent="0.3">
      <c r="B28" s="6" t="s">
        <v>66</v>
      </c>
      <c r="C28" s="65" t="b">
        <v>1</v>
      </c>
      <c r="D28" s="6" t="s">
        <v>67</v>
      </c>
    </row>
    <row r="29" spans="2:4" x14ac:dyDescent="0.3">
      <c r="B29" s="6" t="s">
        <v>96</v>
      </c>
      <c r="C29" s="65" t="b">
        <v>1</v>
      </c>
      <c r="D29" s="6" t="s">
        <v>97</v>
      </c>
    </row>
    <row r="30" spans="2:4" x14ac:dyDescent="0.3">
      <c r="B30" s="6" t="s">
        <v>100</v>
      </c>
      <c r="C30" s="65" t="b">
        <v>0</v>
      </c>
      <c r="D30" s="6" t="s">
        <v>116</v>
      </c>
    </row>
    <row r="31" spans="2:4" x14ac:dyDescent="0.3">
      <c r="B31" s="6" t="s">
        <v>101</v>
      </c>
      <c r="C31" s="13" t="s">
        <v>132</v>
      </c>
      <c r="D31" s="6" t="s">
        <v>118</v>
      </c>
    </row>
    <row r="32" spans="2:4" x14ac:dyDescent="0.3">
      <c r="B32" s="6" t="s">
        <v>103</v>
      </c>
      <c r="C32" s="13" t="s">
        <v>133</v>
      </c>
      <c r="D32" s="6" t="s">
        <v>119</v>
      </c>
    </row>
    <row r="33" spans="2:4" x14ac:dyDescent="0.3">
      <c r="B33" s="6" t="s">
        <v>102</v>
      </c>
      <c r="C33" s="62">
        <v>46094.575069444443</v>
      </c>
      <c r="D33" s="6" t="s">
        <v>120</v>
      </c>
    </row>
    <row r="34" spans="2:4" x14ac:dyDescent="0.3">
      <c r="B34" s="6" t="s">
        <v>104</v>
      </c>
      <c r="C34" s="66" t="b">
        <v>1</v>
      </c>
      <c r="D34" s="6" t="s">
        <v>117</v>
      </c>
    </row>
    <row r="35" spans="2:4" x14ac:dyDescent="0.3">
      <c r="B35" s="6" t="s">
        <v>122</v>
      </c>
      <c r="C35" s="66" t="s">
        <v>131</v>
      </c>
      <c r="D35" s="6" t="s">
        <v>124</v>
      </c>
    </row>
    <row r="36" spans="2:4" x14ac:dyDescent="0.3">
      <c r="B36" s="6" t="s">
        <v>123</v>
      </c>
      <c r="C36" s="62" t="b">
        <v>0</v>
      </c>
      <c r="D36" s="6" t="s">
        <v>125</v>
      </c>
    </row>
    <row r="37" spans="2:4" x14ac:dyDescent="0.3">
      <c r="B37" s="6" t="s">
        <v>126</v>
      </c>
      <c r="C37" s="62" t="b">
        <v>0</v>
      </c>
      <c r="D37" s="6" t="s">
        <v>127</v>
      </c>
    </row>
    <row r="39" spans="2:4" x14ac:dyDescent="0.3">
      <c r="B39" s="15" t="s">
        <v>39</v>
      </c>
      <c r="C39" s="7"/>
      <c r="D39" s="16"/>
    </row>
    <row r="40" spans="2:4" x14ac:dyDescent="0.3">
      <c r="B40" s="5" t="s">
        <v>0</v>
      </c>
      <c r="C40" s="5" t="s">
        <v>41</v>
      </c>
      <c r="D40" s="5"/>
    </row>
    <row r="41" spans="2:4" x14ac:dyDescent="0.3">
      <c r="B41" s="22"/>
      <c r="D41" s="17"/>
    </row>
    <row r="42" spans="2:4" x14ac:dyDescent="0.3">
      <c r="B42" s="20" t="s">
        <v>38</v>
      </c>
      <c r="C42" s="25">
        <v>12345</v>
      </c>
      <c r="D42" s="17"/>
    </row>
    <row r="43" spans="2:4" x14ac:dyDescent="0.3">
      <c r="B43" s="20"/>
      <c r="D43" s="17"/>
    </row>
    <row r="44" spans="2:4" x14ac:dyDescent="0.3">
      <c r="B44" s="20" t="s">
        <v>40</v>
      </c>
      <c r="C44" s="31" t="s">
        <v>42</v>
      </c>
      <c r="D44" s="17"/>
    </row>
    <row r="45" spans="2:4" x14ac:dyDescent="0.3">
      <c r="B45" s="22"/>
      <c r="D45" s="17"/>
    </row>
    <row r="46" spans="2:4" x14ac:dyDescent="0.3">
      <c r="B46" s="20" t="s">
        <v>45</v>
      </c>
      <c r="C46" s="26">
        <v>12345</v>
      </c>
      <c r="D46" s="17"/>
    </row>
    <row r="47" spans="2:4" x14ac:dyDescent="0.3">
      <c r="B47" s="22"/>
      <c r="D47" s="17"/>
    </row>
    <row r="48" spans="2:4" x14ac:dyDescent="0.3">
      <c r="B48" s="20" t="s">
        <v>95</v>
      </c>
      <c r="C48" s="29">
        <v>12345</v>
      </c>
      <c r="D48" s="17"/>
    </row>
    <row r="49" spans="2:4" x14ac:dyDescent="0.3">
      <c r="B49" s="22"/>
      <c r="D49" s="17"/>
    </row>
    <row r="50" spans="2:4" x14ac:dyDescent="0.3">
      <c r="B50" s="20" t="s">
        <v>44</v>
      </c>
      <c r="C50" s="27">
        <v>12345</v>
      </c>
      <c r="D50" s="17"/>
    </row>
    <row r="51" spans="2:4" x14ac:dyDescent="0.3">
      <c r="B51" s="22"/>
      <c r="D51" s="17"/>
    </row>
    <row r="52" spans="2:4" x14ac:dyDescent="0.3">
      <c r="B52" s="20" t="s">
        <v>43</v>
      </c>
      <c r="C52" s="24"/>
      <c r="D52" s="17"/>
    </row>
    <row r="53" spans="2:4" x14ac:dyDescent="0.3">
      <c r="B53" s="22"/>
      <c r="D53" s="17"/>
    </row>
    <row r="54" spans="2:4" ht="19.5" x14ac:dyDescent="0.3">
      <c r="B54" s="20" t="s">
        <v>51</v>
      </c>
      <c r="C54" s="32" t="s">
        <v>52</v>
      </c>
      <c r="D54" s="17"/>
    </row>
    <row r="55" spans="2:4" x14ac:dyDescent="0.3">
      <c r="B55" s="22"/>
      <c r="D55" s="17"/>
    </row>
    <row r="56" spans="2:4" x14ac:dyDescent="0.3">
      <c r="B56" s="20" t="s">
        <v>47</v>
      </c>
      <c r="C56" s="23"/>
      <c r="D56" s="17"/>
    </row>
    <row r="57" spans="2:4" x14ac:dyDescent="0.3">
      <c r="B57" s="20"/>
      <c r="D57" s="17"/>
    </row>
    <row r="58" spans="2:4" x14ac:dyDescent="0.3">
      <c r="B58" s="20"/>
      <c r="D58" s="17"/>
    </row>
    <row r="59" spans="2:4" x14ac:dyDescent="0.3">
      <c r="B59" s="20"/>
      <c r="D59" s="17"/>
    </row>
    <row r="60" spans="2:4" x14ac:dyDescent="0.3">
      <c r="B60" s="21"/>
      <c r="C60" s="18"/>
      <c r="D60" s="19"/>
    </row>
    <row r="62" spans="2:4" x14ac:dyDescent="0.3">
      <c r="B62" s="15" t="s">
        <v>99</v>
      </c>
      <c r="C62" s="7"/>
      <c r="D62" s="16"/>
    </row>
    <row r="63" spans="2:4" x14ac:dyDescent="0.3">
      <c r="B63" s="5" t="s">
        <v>98</v>
      </c>
      <c r="C63" s="5" t="s">
        <v>1</v>
      </c>
      <c r="D63" s="5"/>
    </row>
    <row r="64" spans="2:4" x14ac:dyDescent="0.3">
      <c r="B64" s="1" t="s">
        <v>106</v>
      </c>
      <c r="C64" s="1" t="s">
        <v>105</v>
      </c>
    </row>
    <row r="65" spans="2:3" x14ac:dyDescent="0.3">
      <c r="B65" s="1" t="s">
        <v>107</v>
      </c>
      <c r="C65" s="1" t="s">
        <v>229</v>
      </c>
    </row>
    <row r="66" spans="2:3" x14ac:dyDescent="0.3">
      <c r="B66" s="1" t="s">
        <v>109</v>
      </c>
      <c r="C66" s="1" t="s">
        <v>108</v>
      </c>
    </row>
    <row r="67" spans="2:3" x14ac:dyDescent="0.3">
      <c r="B67" s="1" t="s">
        <v>121</v>
      </c>
      <c r="C67" s="1">
        <v>123</v>
      </c>
    </row>
    <row r="68" spans="2:3" x14ac:dyDescent="0.3">
      <c r="B68" s="1" t="s">
        <v>284</v>
      </c>
      <c r="C68" s="1" t="s">
        <v>134</v>
      </c>
    </row>
    <row r="69" spans="2:3" x14ac:dyDescent="0.3">
      <c r="B69" s="1" t="s">
        <v>285</v>
      </c>
      <c r="C69" s="1" t="s">
        <v>135</v>
      </c>
    </row>
    <row r="70" spans="2:3" x14ac:dyDescent="0.3">
      <c r="B70" s="1" t="s">
        <v>286</v>
      </c>
      <c r="C70" s="1" t="s">
        <v>136</v>
      </c>
    </row>
    <row r="71" spans="2:3" x14ac:dyDescent="0.3">
      <c r="B71" s="1" t="s">
        <v>287</v>
      </c>
      <c r="C71" s="1" t="s">
        <v>280</v>
      </c>
    </row>
    <row r="72" spans="2:3" x14ac:dyDescent="0.3">
      <c r="B72" s="1" t="s">
        <v>288</v>
      </c>
      <c r="C72" s="1" t="s">
        <v>137</v>
      </c>
    </row>
    <row r="73" spans="2:3" x14ac:dyDescent="0.3">
      <c r="B73" s="1" t="s">
        <v>289</v>
      </c>
      <c r="C73" s="1" t="s">
        <v>138</v>
      </c>
    </row>
    <row r="74" spans="2:3" x14ac:dyDescent="0.3">
      <c r="B74" s="1" t="s">
        <v>290</v>
      </c>
      <c r="C74" s="1" t="s">
        <v>139</v>
      </c>
    </row>
    <row r="75" spans="2:3" x14ac:dyDescent="0.3">
      <c r="B75" s="1" t="s">
        <v>291</v>
      </c>
      <c r="C75" s="1" t="s">
        <v>140</v>
      </c>
    </row>
    <row r="76" spans="2:3" x14ac:dyDescent="0.3">
      <c r="B76" s="1" t="s">
        <v>292</v>
      </c>
      <c r="C76" s="1" t="s">
        <v>141</v>
      </c>
    </row>
    <row r="77" spans="2:3" x14ac:dyDescent="0.3">
      <c r="B77" s="1" t="s">
        <v>293</v>
      </c>
      <c r="C77" s="1" t="s">
        <v>142</v>
      </c>
    </row>
    <row r="78" spans="2:3" x14ac:dyDescent="0.3">
      <c r="B78" s="1" t="s">
        <v>294</v>
      </c>
      <c r="C78" s="30" t="s">
        <v>143</v>
      </c>
    </row>
    <row r="79" spans="2:3" x14ac:dyDescent="0.3">
      <c r="B79" s="1" t="s">
        <v>295</v>
      </c>
      <c r="C79" s="1" t="s">
        <v>144</v>
      </c>
    </row>
    <row r="80" spans="2:3" x14ac:dyDescent="0.3">
      <c r="B80" s="1" t="s">
        <v>296</v>
      </c>
      <c r="C80" s="1" t="s">
        <v>464</v>
      </c>
    </row>
    <row r="81" spans="2:3" x14ac:dyDescent="0.3">
      <c r="B81" s="1" t="s">
        <v>297</v>
      </c>
      <c r="C81" s="1" t="s">
        <v>145</v>
      </c>
    </row>
    <row r="82" spans="2:3" x14ac:dyDescent="0.3">
      <c r="B82" s="1" t="s">
        <v>298</v>
      </c>
      <c r="C82" s="1" t="s">
        <v>146</v>
      </c>
    </row>
    <row r="83" spans="2:3" x14ac:dyDescent="0.3">
      <c r="B83" s="1" t="s">
        <v>299</v>
      </c>
      <c r="C83" s="1" t="s">
        <v>147</v>
      </c>
    </row>
    <row r="84" spans="2:3" x14ac:dyDescent="0.3">
      <c r="B84" s="1" t="s">
        <v>300</v>
      </c>
      <c r="C84" s="1" t="s">
        <v>148</v>
      </c>
    </row>
    <row r="85" spans="2:3" x14ac:dyDescent="0.3">
      <c r="B85" s="1" t="s">
        <v>301</v>
      </c>
      <c r="C85" s="1" t="s">
        <v>149</v>
      </c>
    </row>
    <row r="86" spans="2:3" x14ac:dyDescent="0.3">
      <c r="B86" s="1" t="s">
        <v>302</v>
      </c>
      <c r="C86" s="1" t="s">
        <v>150</v>
      </c>
    </row>
    <row r="87" spans="2:3" x14ac:dyDescent="0.3">
      <c r="B87" s="1" t="s">
        <v>303</v>
      </c>
      <c r="C87" s="1" t="s">
        <v>151</v>
      </c>
    </row>
    <row r="88" spans="2:3" x14ac:dyDescent="0.3">
      <c r="B88" s="1" t="s">
        <v>304</v>
      </c>
      <c r="C88" s="1" t="s">
        <v>152</v>
      </c>
    </row>
    <row r="89" spans="2:3" x14ac:dyDescent="0.3">
      <c r="B89" s="1" t="s">
        <v>305</v>
      </c>
      <c r="C89" s="1" t="s">
        <v>281</v>
      </c>
    </row>
    <row r="90" spans="2:3" x14ac:dyDescent="0.3">
      <c r="B90" s="1" t="s">
        <v>306</v>
      </c>
      <c r="C90" s="1" t="s">
        <v>153</v>
      </c>
    </row>
    <row r="91" spans="2:3" x14ac:dyDescent="0.3">
      <c r="B91" s="1" t="s">
        <v>307</v>
      </c>
      <c r="C91" s="1" t="s">
        <v>154</v>
      </c>
    </row>
    <row r="92" spans="2:3" x14ac:dyDescent="0.3">
      <c r="B92" s="1" t="s">
        <v>308</v>
      </c>
      <c r="C92" s="1" t="s">
        <v>155</v>
      </c>
    </row>
    <row r="93" spans="2:3" x14ac:dyDescent="0.3">
      <c r="B93" s="1" t="s">
        <v>309</v>
      </c>
      <c r="C93" s="1" t="s">
        <v>156</v>
      </c>
    </row>
    <row r="94" spans="2:3" x14ac:dyDescent="0.3">
      <c r="B94" s="1" t="s">
        <v>310</v>
      </c>
      <c r="C94" s="1" t="s">
        <v>157</v>
      </c>
    </row>
    <row r="95" spans="2:3" x14ac:dyDescent="0.3">
      <c r="B95" s="1" t="s">
        <v>311</v>
      </c>
      <c r="C95" s="1" t="s">
        <v>158</v>
      </c>
    </row>
    <row r="96" spans="2:3" x14ac:dyDescent="0.3">
      <c r="B96" s="1" t="s">
        <v>312</v>
      </c>
      <c r="C96" s="1" t="s">
        <v>159</v>
      </c>
    </row>
    <row r="97" spans="2:3" x14ac:dyDescent="0.3">
      <c r="B97" s="1" t="s">
        <v>313</v>
      </c>
      <c r="C97" s="1" t="s">
        <v>160</v>
      </c>
    </row>
    <row r="98" spans="2:3" x14ac:dyDescent="0.3">
      <c r="B98" s="1" t="s">
        <v>314</v>
      </c>
      <c r="C98" s="1" t="s">
        <v>161</v>
      </c>
    </row>
    <row r="99" spans="2:3" x14ac:dyDescent="0.3">
      <c r="B99" s="1" t="s">
        <v>315</v>
      </c>
      <c r="C99" s="1" t="s">
        <v>162</v>
      </c>
    </row>
    <row r="100" spans="2:3" x14ac:dyDescent="0.3">
      <c r="B100" s="1" t="s">
        <v>316</v>
      </c>
      <c r="C100" s="1" t="s">
        <v>163</v>
      </c>
    </row>
    <row r="101" spans="2:3" x14ac:dyDescent="0.3">
      <c r="B101" s="1" t="s">
        <v>317</v>
      </c>
      <c r="C101" s="1" t="s">
        <v>164</v>
      </c>
    </row>
    <row r="102" spans="2:3" x14ac:dyDescent="0.3">
      <c r="B102" s="1" t="s">
        <v>318</v>
      </c>
      <c r="C102" s="1" t="s">
        <v>165</v>
      </c>
    </row>
    <row r="103" spans="2:3" x14ac:dyDescent="0.3">
      <c r="B103" s="1" t="s">
        <v>319</v>
      </c>
      <c r="C103" s="1" t="s">
        <v>166</v>
      </c>
    </row>
    <row r="104" spans="2:3" x14ac:dyDescent="0.3">
      <c r="B104" s="1" t="s">
        <v>320</v>
      </c>
      <c r="C104" s="1" t="s">
        <v>167</v>
      </c>
    </row>
    <row r="105" spans="2:3" x14ac:dyDescent="0.3">
      <c r="B105" s="1" t="s">
        <v>321</v>
      </c>
      <c r="C105" s="1" t="s">
        <v>168</v>
      </c>
    </row>
    <row r="106" spans="2:3" x14ac:dyDescent="0.3">
      <c r="B106" s="1" t="s">
        <v>322</v>
      </c>
      <c r="C106" s="1" t="s">
        <v>169</v>
      </c>
    </row>
    <row r="107" spans="2:3" x14ac:dyDescent="0.3">
      <c r="B107" s="1" t="s">
        <v>323</v>
      </c>
      <c r="C107" s="1" t="s">
        <v>170</v>
      </c>
    </row>
    <row r="108" spans="2:3" x14ac:dyDescent="0.3">
      <c r="B108" s="1" t="s">
        <v>324</v>
      </c>
      <c r="C108" s="1" t="s">
        <v>171</v>
      </c>
    </row>
    <row r="109" spans="2:3" x14ac:dyDescent="0.3">
      <c r="B109" s="1" t="s">
        <v>325</v>
      </c>
      <c r="C109" s="1" t="s">
        <v>172</v>
      </c>
    </row>
    <row r="110" spans="2:3" x14ac:dyDescent="0.3">
      <c r="B110" s="1" t="s">
        <v>326</v>
      </c>
      <c r="C110" s="1" t="s">
        <v>173</v>
      </c>
    </row>
    <row r="111" spans="2:3" x14ac:dyDescent="0.3">
      <c r="B111" s="1" t="s">
        <v>327</v>
      </c>
      <c r="C111" s="1" t="s">
        <v>174</v>
      </c>
    </row>
    <row r="112" spans="2:3" x14ac:dyDescent="0.3">
      <c r="B112" s="1" t="s">
        <v>328</v>
      </c>
      <c r="C112" s="1" t="s">
        <v>175</v>
      </c>
    </row>
    <row r="113" spans="2:3" x14ac:dyDescent="0.3">
      <c r="B113" s="1" t="s">
        <v>329</v>
      </c>
      <c r="C113" s="1" t="s">
        <v>176</v>
      </c>
    </row>
    <row r="114" spans="2:3" x14ac:dyDescent="0.3">
      <c r="B114" s="1" t="s">
        <v>330</v>
      </c>
      <c r="C114" s="1" t="s">
        <v>177</v>
      </c>
    </row>
    <row r="115" spans="2:3" x14ac:dyDescent="0.3">
      <c r="B115" s="1" t="s">
        <v>331</v>
      </c>
      <c r="C115" s="1" t="s">
        <v>178</v>
      </c>
    </row>
    <row r="116" spans="2:3" x14ac:dyDescent="0.3">
      <c r="B116" s="1" t="s">
        <v>332</v>
      </c>
      <c r="C116" s="1" t="s">
        <v>179</v>
      </c>
    </row>
    <row r="117" spans="2:3" x14ac:dyDescent="0.3">
      <c r="B117" s="1" t="s">
        <v>333</v>
      </c>
      <c r="C117" s="1" t="s">
        <v>180</v>
      </c>
    </row>
    <row r="118" spans="2:3" x14ac:dyDescent="0.3">
      <c r="B118" s="1" t="s">
        <v>334</v>
      </c>
      <c r="C118" s="1" t="s">
        <v>181</v>
      </c>
    </row>
    <row r="119" spans="2:3" x14ac:dyDescent="0.3">
      <c r="B119" s="1" t="s">
        <v>335</v>
      </c>
      <c r="C119" s="1" t="s">
        <v>182</v>
      </c>
    </row>
    <row r="120" spans="2:3" x14ac:dyDescent="0.3">
      <c r="B120" s="1" t="s">
        <v>336</v>
      </c>
      <c r="C120" s="1" t="s">
        <v>183</v>
      </c>
    </row>
    <row r="121" spans="2:3" x14ac:dyDescent="0.3">
      <c r="B121" s="1" t="s">
        <v>337</v>
      </c>
      <c r="C121" s="1" t="s">
        <v>184</v>
      </c>
    </row>
    <row r="122" spans="2:3" x14ac:dyDescent="0.3">
      <c r="B122" s="1" t="s">
        <v>338</v>
      </c>
      <c r="C122" s="1" t="s">
        <v>185</v>
      </c>
    </row>
    <row r="123" spans="2:3" x14ac:dyDescent="0.3">
      <c r="B123" s="1" t="s">
        <v>339</v>
      </c>
      <c r="C123" s="1" t="s">
        <v>186</v>
      </c>
    </row>
    <row r="124" spans="2:3" x14ac:dyDescent="0.3">
      <c r="B124" s="1" t="s">
        <v>340</v>
      </c>
      <c r="C124" s="1" t="s">
        <v>187</v>
      </c>
    </row>
    <row r="125" spans="2:3" x14ac:dyDescent="0.3">
      <c r="B125" s="1" t="s">
        <v>341</v>
      </c>
      <c r="C125" s="1" t="s">
        <v>188</v>
      </c>
    </row>
    <row r="126" spans="2:3" x14ac:dyDescent="0.3">
      <c r="B126" s="1" t="s">
        <v>342</v>
      </c>
      <c r="C126" s="1" t="s">
        <v>189</v>
      </c>
    </row>
    <row r="127" spans="2:3" x14ac:dyDescent="0.3">
      <c r="B127" s="1" t="s">
        <v>343</v>
      </c>
      <c r="C127" s="1" t="s">
        <v>190</v>
      </c>
    </row>
    <row r="128" spans="2:3" x14ac:dyDescent="0.3">
      <c r="B128" s="1" t="s">
        <v>344</v>
      </c>
      <c r="C128" s="1" t="s">
        <v>191</v>
      </c>
    </row>
    <row r="129" spans="2:3" x14ac:dyDescent="0.3">
      <c r="B129" s="1" t="s">
        <v>345</v>
      </c>
      <c r="C129" s="1" t="s">
        <v>192</v>
      </c>
    </row>
    <row r="130" spans="2:3" x14ac:dyDescent="0.3">
      <c r="B130" s="1" t="s">
        <v>346</v>
      </c>
      <c r="C130" s="1" t="s">
        <v>193</v>
      </c>
    </row>
    <row r="131" spans="2:3" x14ac:dyDescent="0.3">
      <c r="B131" s="1" t="s">
        <v>347</v>
      </c>
      <c r="C131" s="1" t="s">
        <v>194</v>
      </c>
    </row>
    <row r="132" spans="2:3" x14ac:dyDescent="0.3">
      <c r="B132" s="1" t="s">
        <v>348</v>
      </c>
      <c r="C132" s="1" t="s">
        <v>195</v>
      </c>
    </row>
    <row r="133" spans="2:3" x14ac:dyDescent="0.3">
      <c r="B133" s="1" t="s">
        <v>349</v>
      </c>
      <c r="C133" s="1" t="s">
        <v>196</v>
      </c>
    </row>
    <row r="134" spans="2:3" x14ac:dyDescent="0.3">
      <c r="B134" s="1" t="s">
        <v>350</v>
      </c>
      <c r="C134" s="1" t="s">
        <v>197</v>
      </c>
    </row>
    <row r="135" spans="2:3" x14ac:dyDescent="0.3">
      <c r="B135" s="1" t="s">
        <v>351</v>
      </c>
      <c r="C135" s="1" t="s">
        <v>198</v>
      </c>
    </row>
    <row r="136" spans="2:3" x14ac:dyDescent="0.3">
      <c r="B136" s="1" t="s">
        <v>352</v>
      </c>
      <c r="C136" s="1" t="s">
        <v>199</v>
      </c>
    </row>
    <row r="137" spans="2:3" x14ac:dyDescent="0.3">
      <c r="B137" s="1" t="s">
        <v>353</v>
      </c>
      <c r="C137" s="1" t="s">
        <v>200</v>
      </c>
    </row>
    <row r="138" spans="2:3" x14ac:dyDescent="0.3">
      <c r="B138" s="1" t="s">
        <v>354</v>
      </c>
      <c r="C138" s="1" t="s">
        <v>201</v>
      </c>
    </row>
    <row r="139" spans="2:3" x14ac:dyDescent="0.3">
      <c r="B139" s="1" t="s">
        <v>355</v>
      </c>
      <c r="C139" s="1" t="s">
        <v>202</v>
      </c>
    </row>
    <row r="140" spans="2:3" x14ac:dyDescent="0.3">
      <c r="B140" s="1" t="s">
        <v>356</v>
      </c>
      <c r="C140" s="1" t="s">
        <v>203</v>
      </c>
    </row>
    <row r="141" spans="2:3" x14ac:dyDescent="0.3">
      <c r="B141" s="1" t="s">
        <v>357</v>
      </c>
      <c r="C141" s="1" t="s">
        <v>204</v>
      </c>
    </row>
    <row r="142" spans="2:3" x14ac:dyDescent="0.3">
      <c r="B142" s="1" t="s">
        <v>358</v>
      </c>
      <c r="C142" s="1" t="s">
        <v>205</v>
      </c>
    </row>
    <row r="143" spans="2:3" x14ac:dyDescent="0.3">
      <c r="B143" s="1" t="s">
        <v>359</v>
      </c>
      <c r="C143" s="1" t="s">
        <v>206</v>
      </c>
    </row>
    <row r="144" spans="2:3" x14ac:dyDescent="0.3">
      <c r="B144" s="1" t="s">
        <v>361</v>
      </c>
      <c r="C144" s="67" t="s">
        <v>208</v>
      </c>
    </row>
    <row r="145" spans="2:3" x14ac:dyDescent="0.3">
      <c r="B145" s="1" t="s">
        <v>362</v>
      </c>
      <c r="C145" s="1" t="s">
        <v>209</v>
      </c>
    </row>
    <row r="146" spans="2:3" x14ac:dyDescent="0.3">
      <c r="B146" s="1" t="s">
        <v>363</v>
      </c>
      <c r="C146" s="1" t="s">
        <v>210</v>
      </c>
    </row>
    <row r="147" spans="2:3" x14ac:dyDescent="0.3">
      <c r="B147" s="1" t="s">
        <v>364</v>
      </c>
      <c r="C147" s="1" t="s">
        <v>211</v>
      </c>
    </row>
    <row r="148" spans="2:3" x14ac:dyDescent="0.3">
      <c r="B148" s="1" t="s">
        <v>365</v>
      </c>
      <c r="C148" s="1" t="s">
        <v>212</v>
      </c>
    </row>
    <row r="149" spans="2:3" x14ac:dyDescent="0.3">
      <c r="B149" s="1" t="s">
        <v>366</v>
      </c>
      <c r="C149" s="1" t="s">
        <v>213</v>
      </c>
    </row>
    <row r="150" spans="2:3" x14ac:dyDescent="0.3">
      <c r="B150" s="1" t="s">
        <v>367</v>
      </c>
      <c r="C150" s="1" t="s">
        <v>214</v>
      </c>
    </row>
    <row r="151" spans="2:3" x14ac:dyDescent="0.3">
      <c r="B151" s="1" t="s">
        <v>368</v>
      </c>
      <c r="C151" s="1" t="s">
        <v>215</v>
      </c>
    </row>
    <row r="152" spans="2:3" x14ac:dyDescent="0.3">
      <c r="B152" s="1" t="s">
        <v>369</v>
      </c>
      <c r="C152" s="1" t="s">
        <v>216</v>
      </c>
    </row>
    <row r="153" spans="2:3" x14ac:dyDescent="0.3">
      <c r="B153" s="1" t="s">
        <v>370</v>
      </c>
      <c r="C153" s="1" t="s">
        <v>217</v>
      </c>
    </row>
    <row r="154" spans="2:3" x14ac:dyDescent="0.3">
      <c r="B154" s="1" t="s">
        <v>371</v>
      </c>
      <c r="C154" s="1" t="s">
        <v>218</v>
      </c>
    </row>
    <row r="155" spans="2:3" x14ac:dyDescent="0.3">
      <c r="B155" s="1" t="s">
        <v>372</v>
      </c>
      <c r="C155" s="1" t="s">
        <v>219</v>
      </c>
    </row>
    <row r="156" spans="2:3" x14ac:dyDescent="0.3">
      <c r="B156" s="1" t="s">
        <v>373</v>
      </c>
      <c r="C156" s="1" t="s">
        <v>220</v>
      </c>
    </row>
    <row r="157" spans="2:3" x14ac:dyDescent="0.3">
      <c r="B157" s="1" t="s">
        <v>374</v>
      </c>
      <c r="C157" s="1" t="s">
        <v>221</v>
      </c>
    </row>
    <row r="158" spans="2:3" x14ac:dyDescent="0.3">
      <c r="B158" s="1" t="s">
        <v>375</v>
      </c>
      <c r="C158" s="1" t="s">
        <v>222</v>
      </c>
    </row>
    <row r="159" spans="2:3" x14ac:dyDescent="0.3">
      <c r="B159" s="1" t="s">
        <v>376</v>
      </c>
      <c r="C159" s="1" t="s">
        <v>223</v>
      </c>
    </row>
    <row r="160" spans="2:3" x14ac:dyDescent="0.3">
      <c r="B160" s="1" t="s">
        <v>377</v>
      </c>
      <c r="C160" s="1" t="s">
        <v>224</v>
      </c>
    </row>
    <row r="161" spans="2:3" x14ac:dyDescent="0.3">
      <c r="B161" s="1" t="s">
        <v>378</v>
      </c>
      <c r="C161" s="1" t="s">
        <v>225</v>
      </c>
    </row>
    <row r="162" spans="2:3" x14ac:dyDescent="0.3">
      <c r="B162" s="1" t="s">
        <v>379</v>
      </c>
      <c r="C162" s="1" t="s">
        <v>226</v>
      </c>
    </row>
    <row r="163" spans="2:3" x14ac:dyDescent="0.3">
      <c r="B163" s="1" t="s">
        <v>380</v>
      </c>
      <c r="C163" s="1" t="s">
        <v>227</v>
      </c>
    </row>
    <row r="164" spans="2:3" x14ac:dyDescent="0.3">
      <c r="B164" s="1" t="s">
        <v>381</v>
      </c>
      <c r="C164" s="1" t="s">
        <v>228</v>
      </c>
    </row>
    <row r="165" spans="2:3" x14ac:dyDescent="0.3">
      <c r="B165" s="1" t="s">
        <v>382</v>
      </c>
      <c r="C165" s="1" t="s">
        <v>230</v>
      </c>
    </row>
    <row r="166" spans="2:3" x14ac:dyDescent="0.3">
      <c r="B166" s="1" t="s">
        <v>383</v>
      </c>
      <c r="C166" s="1" t="s">
        <v>231</v>
      </c>
    </row>
    <row r="167" spans="2:3" x14ac:dyDescent="0.3">
      <c r="B167" s="1" t="s">
        <v>384</v>
      </c>
      <c r="C167" s="1" t="s">
        <v>232</v>
      </c>
    </row>
    <row r="168" spans="2:3" x14ac:dyDescent="0.3">
      <c r="B168" s="1" t="s">
        <v>385</v>
      </c>
      <c r="C168" s="1" t="s">
        <v>233</v>
      </c>
    </row>
    <row r="169" spans="2:3" x14ac:dyDescent="0.3">
      <c r="B169" s="1" t="s">
        <v>386</v>
      </c>
      <c r="C169" s="67" t="s">
        <v>234</v>
      </c>
    </row>
    <row r="170" spans="2:3" x14ac:dyDescent="0.3">
      <c r="B170" s="1" t="s">
        <v>387</v>
      </c>
      <c r="C170" s="1" t="s">
        <v>235</v>
      </c>
    </row>
    <row r="171" spans="2:3" x14ac:dyDescent="0.3">
      <c r="B171" s="1" t="s">
        <v>388</v>
      </c>
      <c r="C171" s="1" t="s">
        <v>236</v>
      </c>
    </row>
    <row r="172" spans="2:3" x14ac:dyDescent="0.3">
      <c r="B172" s="1" t="s">
        <v>389</v>
      </c>
      <c r="C172" s="1" t="s">
        <v>237</v>
      </c>
    </row>
    <row r="173" spans="2:3" x14ac:dyDescent="0.3">
      <c r="B173" s="1" t="s">
        <v>390</v>
      </c>
      <c r="C173" s="67" t="s">
        <v>238</v>
      </c>
    </row>
    <row r="174" spans="2:3" x14ac:dyDescent="0.3">
      <c r="B174" s="1" t="s">
        <v>391</v>
      </c>
      <c r="C174" s="1" t="s">
        <v>239</v>
      </c>
    </row>
    <row r="175" spans="2:3" x14ac:dyDescent="0.3">
      <c r="B175" s="1" t="s">
        <v>392</v>
      </c>
      <c r="C175" s="1" t="s">
        <v>240</v>
      </c>
    </row>
    <row r="176" spans="2:3" x14ac:dyDescent="0.3">
      <c r="B176" s="1" t="s">
        <v>393</v>
      </c>
      <c r="C176" s="1" t="s">
        <v>241</v>
      </c>
    </row>
    <row r="177" spans="2:3" x14ac:dyDescent="0.3">
      <c r="B177" s="1" t="s">
        <v>394</v>
      </c>
      <c r="C177" s="1" t="s">
        <v>242</v>
      </c>
    </row>
    <row r="178" spans="2:3" x14ac:dyDescent="0.3">
      <c r="B178" s="1" t="s">
        <v>395</v>
      </c>
      <c r="C178" s="1" t="s">
        <v>243</v>
      </c>
    </row>
    <row r="179" spans="2:3" x14ac:dyDescent="0.3">
      <c r="B179" s="1" t="s">
        <v>396</v>
      </c>
      <c r="C179" s="1" t="s">
        <v>244</v>
      </c>
    </row>
    <row r="180" spans="2:3" x14ac:dyDescent="0.3">
      <c r="B180" s="1" t="s">
        <v>397</v>
      </c>
      <c r="C180" s="1" t="s">
        <v>245</v>
      </c>
    </row>
    <row r="181" spans="2:3" x14ac:dyDescent="0.3">
      <c r="B181" s="1" t="s">
        <v>398</v>
      </c>
      <c r="C181" s="1" t="s">
        <v>246</v>
      </c>
    </row>
    <row r="182" spans="2:3" x14ac:dyDescent="0.3">
      <c r="B182" s="1" t="s">
        <v>399</v>
      </c>
      <c r="C182" s="1" t="s">
        <v>247</v>
      </c>
    </row>
    <row r="183" spans="2:3" x14ac:dyDescent="0.3">
      <c r="B183" s="1" t="s">
        <v>400</v>
      </c>
      <c r="C183" s="1" t="s">
        <v>282</v>
      </c>
    </row>
    <row r="184" spans="2:3" x14ac:dyDescent="0.3">
      <c r="B184" s="1" t="s">
        <v>401</v>
      </c>
      <c r="C184" s="1" t="s">
        <v>283</v>
      </c>
    </row>
    <row r="185" spans="2:3" x14ac:dyDescent="0.3">
      <c r="B185" s="1" t="s">
        <v>402</v>
      </c>
      <c r="C185" s="1" t="s">
        <v>248</v>
      </c>
    </row>
    <row r="186" spans="2:3" x14ac:dyDescent="0.3">
      <c r="B186" s="1" t="s">
        <v>403</v>
      </c>
      <c r="C186" s="1" t="s">
        <v>249</v>
      </c>
    </row>
    <row r="187" spans="2:3" x14ac:dyDescent="0.3">
      <c r="B187" s="1" t="s">
        <v>404</v>
      </c>
      <c r="C187" s="1" t="s">
        <v>250</v>
      </c>
    </row>
    <row r="188" spans="2:3" x14ac:dyDescent="0.3">
      <c r="B188" s="1" t="s">
        <v>405</v>
      </c>
      <c r="C188" s="1" t="s">
        <v>251</v>
      </c>
    </row>
    <row r="189" spans="2:3" x14ac:dyDescent="0.3">
      <c r="B189" s="1" t="s">
        <v>406</v>
      </c>
      <c r="C189" s="1" t="s">
        <v>252</v>
      </c>
    </row>
    <row r="190" spans="2:3" x14ac:dyDescent="0.3">
      <c r="B190" s="1" t="s">
        <v>407</v>
      </c>
      <c r="C190" s="1" t="s">
        <v>253</v>
      </c>
    </row>
    <row r="191" spans="2:3" x14ac:dyDescent="0.3">
      <c r="B191" s="1" t="s">
        <v>408</v>
      </c>
      <c r="C191" s="1" t="s">
        <v>254</v>
      </c>
    </row>
    <row r="192" spans="2:3" x14ac:dyDescent="0.3">
      <c r="B192" s="1" t="s">
        <v>409</v>
      </c>
      <c r="C192" s="1" t="s">
        <v>255</v>
      </c>
    </row>
    <row r="193" spans="2:3" x14ac:dyDescent="0.3">
      <c r="B193" s="1" t="s">
        <v>410</v>
      </c>
      <c r="C193" s="1" t="s">
        <v>256</v>
      </c>
    </row>
    <row r="194" spans="2:3" x14ac:dyDescent="0.3">
      <c r="B194" s="1" t="s">
        <v>411</v>
      </c>
      <c r="C194" s="1" t="s">
        <v>257</v>
      </c>
    </row>
    <row r="195" spans="2:3" x14ac:dyDescent="0.3">
      <c r="B195" s="1" t="s">
        <v>412</v>
      </c>
      <c r="C195" s="1" t="s">
        <v>258</v>
      </c>
    </row>
    <row r="196" spans="2:3" x14ac:dyDescent="0.3">
      <c r="B196" s="1" t="s">
        <v>413</v>
      </c>
      <c r="C196" s="1" t="s">
        <v>259</v>
      </c>
    </row>
    <row r="197" spans="2:3" x14ac:dyDescent="0.3">
      <c r="B197" s="1" t="s">
        <v>414</v>
      </c>
      <c r="C197" s="1" t="s">
        <v>260</v>
      </c>
    </row>
    <row r="198" spans="2:3" x14ac:dyDescent="0.3">
      <c r="B198" s="1" t="s">
        <v>415</v>
      </c>
      <c r="C198" s="1" t="s">
        <v>261</v>
      </c>
    </row>
    <row r="199" spans="2:3" x14ac:dyDescent="0.3">
      <c r="B199" s="1" t="s">
        <v>416</v>
      </c>
      <c r="C199" s="1" t="s">
        <v>262</v>
      </c>
    </row>
    <row r="200" spans="2:3" x14ac:dyDescent="0.3">
      <c r="B200" s="1" t="s">
        <v>417</v>
      </c>
      <c r="C200" s="1" t="s">
        <v>263</v>
      </c>
    </row>
    <row r="201" spans="2:3" x14ac:dyDescent="0.3">
      <c r="B201" s="1" t="s">
        <v>418</v>
      </c>
      <c r="C201" s="1" t="s">
        <v>264</v>
      </c>
    </row>
    <row r="202" spans="2:3" x14ac:dyDescent="0.3">
      <c r="B202" s="1" t="s">
        <v>419</v>
      </c>
      <c r="C202" s="1" t="s">
        <v>265</v>
      </c>
    </row>
    <row r="203" spans="2:3" x14ac:dyDescent="0.3">
      <c r="B203" s="1" t="s">
        <v>420</v>
      </c>
      <c r="C203" s="1" t="s">
        <v>266</v>
      </c>
    </row>
    <row r="204" spans="2:3" x14ac:dyDescent="0.3">
      <c r="B204" s="1" t="s">
        <v>421</v>
      </c>
      <c r="C204" s="1" t="s">
        <v>267</v>
      </c>
    </row>
    <row r="205" spans="2:3" x14ac:dyDescent="0.3">
      <c r="B205" s="1" t="s">
        <v>422</v>
      </c>
      <c r="C205" s="1" t="s">
        <v>268</v>
      </c>
    </row>
    <row r="206" spans="2:3" x14ac:dyDescent="0.3">
      <c r="B206" s="1" t="s">
        <v>423</v>
      </c>
      <c r="C206" s="1" t="s">
        <v>269</v>
      </c>
    </row>
    <row r="207" spans="2:3" x14ac:dyDescent="0.3">
      <c r="B207" s="1" t="s">
        <v>424</v>
      </c>
      <c r="C207" s="1" t="s">
        <v>270</v>
      </c>
    </row>
    <row r="208" spans="2:3" x14ac:dyDescent="0.3">
      <c r="B208" s="1" t="s">
        <v>425</v>
      </c>
      <c r="C208" s="1" t="s">
        <v>271</v>
      </c>
    </row>
    <row r="209" spans="2:3" x14ac:dyDescent="0.3">
      <c r="B209" s="1" t="s">
        <v>426</v>
      </c>
      <c r="C209" s="1" t="s">
        <v>272</v>
      </c>
    </row>
    <row r="210" spans="2:3" x14ac:dyDescent="0.3">
      <c r="B210" s="1" t="s">
        <v>427</v>
      </c>
      <c r="C210" s="1" t="s">
        <v>273</v>
      </c>
    </row>
    <row r="211" spans="2:3" x14ac:dyDescent="0.3">
      <c r="B211" s="1" t="s">
        <v>428</v>
      </c>
      <c r="C211" s="1" t="s">
        <v>274</v>
      </c>
    </row>
    <row r="212" spans="2:3" x14ac:dyDescent="0.3">
      <c r="B212" s="1" t="s">
        <v>429</v>
      </c>
      <c r="C212" s="1" t="s">
        <v>275</v>
      </c>
    </row>
    <row r="213" spans="2:3" x14ac:dyDescent="0.3">
      <c r="B213" s="1" t="s">
        <v>430</v>
      </c>
      <c r="C213" s="1" t="s">
        <v>276</v>
      </c>
    </row>
    <row r="214" spans="2:3" x14ac:dyDescent="0.3">
      <c r="B214" s="1" t="s">
        <v>431</v>
      </c>
      <c r="C214" s="1" t="s">
        <v>277</v>
      </c>
    </row>
    <row r="215" spans="2:3" x14ac:dyDescent="0.3">
      <c r="B215" s="1" t="s">
        <v>432</v>
      </c>
      <c r="C215" s="1" t="s">
        <v>278</v>
      </c>
    </row>
    <row r="216" spans="2:3" x14ac:dyDescent="0.3">
      <c r="B216" s="1" t="s">
        <v>433</v>
      </c>
      <c r="C216" s="1" t="s">
        <v>279</v>
      </c>
    </row>
    <row r="217" spans="2:3" x14ac:dyDescent="0.3">
      <c r="B217" s="1" t="s">
        <v>449</v>
      </c>
      <c r="C217" s="1" t="s">
        <v>446</v>
      </c>
    </row>
    <row r="218" spans="2:3" x14ac:dyDescent="0.3">
      <c r="B218" s="1" t="s">
        <v>450</v>
      </c>
      <c r="C218" s="1" t="s">
        <v>447</v>
      </c>
    </row>
    <row r="219" spans="2:3" x14ac:dyDescent="0.3">
      <c r="B219" s="1" t="s">
        <v>451</v>
      </c>
      <c r="C219" s="1" t="s">
        <v>448</v>
      </c>
    </row>
    <row r="220" spans="2:3" x14ac:dyDescent="0.3">
      <c r="B220" s="1" t="s">
        <v>452</v>
      </c>
      <c r="C220" s="1" t="s">
        <v>434</v>
      </c>
    </row>
    <row r="221" spans="2:3" x14ac:dyDescent="0.3">
      <c r="B221" s="1" t="s">
        <v>453</v>
      </c>
      <c r="C221" s="1" t="s">
        <v>435</v>
      </c>
    </row>
    <row r="222" spans="2:3" x14ac:dyDescent="0.3">
      <c r="B222" s="1" t="s">
        <v>360</v>
      </c>
      <c r="C222" s="1" t="s">
        <v>207</v>
      </c>
    </row>
    <row r="223" spans="2:3" x14ac:dyDescent="0.3">
      <c r="B223" s="1" t="s">
        <v>454</v>
      </c>
      <c r="C223" s="1" t="s">
        <v>436</v>
      </c>
    </row>
    <row r="224" spans="2:3" x14ac:dyDescent="0.3">
      <c r="B224" s="1" t="s">
        <v>455</v>
      </c>
      <c r="C224" s="1" t="s">
        <v>437</v>
      </c>
    </row>
    <row r="225" spans="2:3" x14ac:dyDescent="0.3">
      <c r="B225" s="1" t="s">
        <v>456</v>
      </c>
      <c r="C225" s="1" t="s">
        <v>438</v>
      </c>
    </row>
    <row r="226" spans="2:3" x14ac:dyDescent="0.3">
      <c r="B226" s="1" t="s">
        <v>457</v>
      </c>
      <c r="C226" s="1" t="s">
        <v>439</v>
      </c>
    </row>
    <row r="227" spans="2:3" x14ac:dyDescent="0.3">
      <c r="B227" s="1" t="s">
        <v>458</v>
      </c>
      <c r="C227" s="1" t="s">
        <v>440</v>
      </c>
    </row>
    <row r="228" spans="2:3" x14ac:dyDescent="0.3">
      <c r="B228" s="1" t="s">
        <v>459</v>
      </c>
      <c r="C228" s="1" t="s">
        <v>441</v>
      </c>
    </row>
    <row r="229" spans="2:3" x14ac:dyDescent="0.3">
      <c r="B229" s="1" t="s">
        <v>460</v>
      </c>
      <c r="C229" s="1" t="s">
        <v>442</v>
      </c>
    </row>
    <row r="230" spans="2:3" x14ac:dyDescent="0.3">
      <c r="B230" s="1" t="s">
        <v>461</v>
      </c>
      <c r="C230" s="1" t="s">
        <v>443</v>
      </c>
    </row>
    <row r="231" spans="2:3" x14ac:dyDescent="0.3">
      <c r="B231" s="1" t="s">
        <v>462</v>
      </c>
      <c r="C231" s="1" t="s">
        <v>444</v>
      </c>
    </row>
    <row r="232" spans="2:3" x14ac:dyDescent="0.3">
      <c r="B232" s="1" t="s">
        <v>463</v>
      </c>
      <c r="C232" s="1" t="s">
        <v>445</v>
      </c>
    </row>
    <row r="233" spans="2:3" x14ac:dyDescent="0.3">
      <c r="B233" s="1" t="s">
        <v>524</v>
      </c>
      <c r="C233" s="1" t="s">
        <v>517</v>
      </c>
    </row>
    <row r="234" spans="2:3" x14ac:dyDescent="0.3">
      <c r="B234" s="1" t="s">
        <v>525</v>
      </c>
      <c r="C234" s="1" t="s">
        <v>518</v>
      </c>
    </row>
    <row r="235" spans="2:3" x14ac:dyDescent="0.3">
      <c r="B235" s="1" t="s">
        <v>526</v>
      </c>
      <c r="C235" s="1" t="s">
        <v>520</v>
      </c>
    </row>
    <row r="236" spans="2:3" ht="112.5" x14ac:dyDescent="0.3">
      <c r="B236" s="1" t="s">
        <v>527</v>
      </c>
      <c r="C236" s="67" t="s">
        <v>519</v>
      </c>
    </row>
    <row r="237" spans="2:3" ht="93.75" x14ac:dyDescent="0.3">
      <c r="B237" s="1" t="s">
        <v>528</v>
      </c>
      <c r="C237" s="67" t="s">
        <v>521</v>
      </c>
    </row>
    <row r="238" spans="2:3" ht="93.75" x14ac:dyDescent="0.3">
      <c r="B238" s="1" t="s">
        <v>529</v>
      </c>
      <c r="C238" s="67" t="s">
        <v>523</v>
      </c>
    </row>
    <row r="239" spans="2:3" ht="131.25" x14ac:dyDescent="0.3">
      <c r="B239" s="1" t="s">
        <v>530</v>
      </c>
      <c r="C239" s="67" t="s">
        <v>522</v>
      </c>
    </row>
    <row r="240" spans="2:3" x14ac:dyDescent="0.3">
      <c r="B240" s="1" t="s">
        <v>538</v>
      </c>
      <c r="C240" s="1" t="s">
        <v>531</v>
      </c>
    </row>
    <row r="241" spans="2:3" x14ac:dyDescent="0.3">
      <c r="B241" s="1" t="s">
        <v>539</v>
      </c>
      <c r="C241" s="1" t="s">
        <v>532</v>
      </c>
    </row>
    <row r="242" spans="2:3" x14ac:dyDescent="0.3">
      <c r="B242" s="1" t="s">
        <v>540</v>
      </c>
      <c r="C242" s="1" t="s">
        <v>533</v>
      </c>
    </row>
    <row r="243" spans="2:3" x14ac:dyDescent="0.3">
      <c r="B243" s="1" t="s">
        <v>541</v>
      </c>
      <c r="C243" s="1" t="s">
        <v>534</v>
      </c>
    </row>
    <row r="244" spans="2:3" x14ac:dyDescent="0.3">
      <c r="B244" s="1" t="s">
        <v>542</v>
      </c>
      <c r="C244" s="1" t="s">
        <v>535</v>
      </c>
    </row>
    <row r="245" spans="2:3" x14ac:dyDescent="0.3">
      <c r="B245" s="1" t="s">
        <v>543</v>
      </c>
      <c r="C245" s="1" t="s">
        <v>536</v>
      </c>
    </row>
    <row r="246" spans="2:3" ht="131.25" x14ac:dyDescent="0.3">
      <c r="B246" s="1" t="s">
        <v>544</v>
      </c>
      <c r="C246" s="67" t="s">
        <v>537</v>
      </c>
    </row>
  </sheetData>
  <mergeCells count="21">
    <mergeCell ref="R7:R8"/>
    <mergeCell ref="S7:S8"/>
    <mergeCell ref="X7:X8"/>
    <mergeCell ref="G7:G8"/>
    <mergeCell ref="H7:H8"/>
    <mergeCell ref="J7:J8"/>
    <mergeCell ref="K7:K8"/>
    <mergeCell ref="P7:P8"/>
    <mergeCell ref="AN7:AN8"/>
    <mergeCell ref="AP7:AP8"/>
    <mergeCell ref="Z7:Z8"/>
    <mergeCell ref="AA7:AA8"/>
    <mergeCell ref="AF7:AF8"/>
    <mergeCell ref="AH7:AH8"/>
    <mergeCell ref="AI7:AI8"/>
    <mergeCell ref="BD7:BD8"/>
    <mergeCell ref="AS7:AS8"/>
    <mergeCell ref="AT7:AT8"/>
    <mergeCell ref="AV7:AV8"/>
    <mergeCell ref="AW7:AW8"/>
    <mergeCell ref="BB7:BB8"/>
  </mergeCells>
  <dataValidations count="1">
    <dataValidation type="list" allowBlank="1" showInputMessage="1" showErrorMessage="1" sqref="C35" xr:uid="{79675F46-B2EE-49DF-BD47-638C976E7B9D}">
      <formula1>"dev-local,sandbox,prod"</formula1>
    </dataValidation>
  </dataValidations>
  <hyperlinks>
    <hyperlink ref="C14" r:id="rId1" xr:uid="{2390E2D5-6964-4D97-901D-615094150609}"/>
  </hyperlinks>
  <pageMargins left="0.7" right="0.7" top="0.75" bottom="0.75" header="0.3" footer="0.3"/>
  <customProperties>
    <customPr name="EpmWorksheetKeyString_GUID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26</vt:i4>
      </vt:variant>
    </vt:vector>
  </HeadingPairs>
  <TitlesOfParts>
    <vt:vector size="27" baseType="lpstr">
      <vt:lpstr>CTC Template</vt:lpstr>
      <vt:lpstr>API_Link</vt:lpstr>
      <vt:lpstr>API_TerpApp</vt:lpstr>
      <vt:lpstr>ColumnAOnly</vt:lpstr>
      <vt:lpstr>ColumnFieldsSource</vt:lpstr>
      <vt:lpstr>ColumnFieldStartRange</vt:lpstr>
      <vt:lpstr>DgOcMainFolder</vt:lpstr>
      <vt:lpstr>EnableFreezePane</vt:lpstr>
      <vt:lpstr>EnableRowGrouping</vt:lpstr>
      <vt:lpstr>EnableRowSuppression</vt:lpstr>
      <vt:lpstr>FormatTable</vt:lpstr>
      <vt:lpstr>IsDataChanged</vt:lpstr>
      <vt:lpstr>IsProjectSelectionDgOc</vt:lpstr>
      <vt:lpstr>LoginOnOpen</vt:lpstr>
      <vt:lpstr>LoginUser</vt:lpstr>
      <vt:lpstr>LoginUserName</vt:lpstr>
      <vt:lpstr>RemarksTable</vt:lpstr>
      <vt:lpstr>RowFieldRange</vt:lpstr>
      <vt:lpstr>RowFields</vt:lpstr>
      <vt:lpstr>SelectedCostBreakdown</vt:lpstr>
      <vt:lpstr>SelectedCostBreakdownDesc</vt:lpstr>
      <vt:lpstr>SelectedProject</vt:lpstr>
      <vt:lpstr>SelectedProjectDesc</vt:lpstr>
      <vt:lpstr>SetReadOnlyOnOpen</vt:lpstr>
      <vt:lpstr>SourceHeaders</vt:lpstr>
      <vt:lpstr>TotalFormulaSource</vt:lpstr>
      <vt:lpstr>UpdateDate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Tan</dc:creator>
  <cp:lastModifiedBy>Ramon Escalona</cp:lastModifiedBy>
  <dcterms:created xsi:type="dcterms:W3CDTF">2024-10-07T06:02:19Z</dcterms:created>
  <dcterms:modified xsi:type="dcterms:W3CDTF">2026-03-13T05:57:55Z</dcterms:modified>
</cp:coreProperties>
</file>